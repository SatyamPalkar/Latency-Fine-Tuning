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421e00497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39dd0c19784266"/>
    <x:sheet xmlns:r="http://schemas.openxmlformats.org/officeDocument/2006/relationships" name="Data &amp; Targets" sheetId="2" r:id="Rf3ed6d39d9384ca8"/>
    <x:sheet xmlns:r="http://schemas.openxmlformats.org/officeDocument/2006/relationships" name="_Chart Helpers" sheetId="3" r:id="Rc9352e8704b7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#,##0.0"/>
    <x:numFmt numFmtId="201" formatCode="0.0%"/>
    <x:numFmt numFmtId="202" formatCode="#,##0"/>
  </x:numFmts>
  <x:fonts count="2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200" fontId="11" fillId="10" borderId="0" xfId="0" applyNumberFormat="1" applyFont="1" applyFill="1" applyBorder="1" applyAlignment="1">
      <x:alignment horizontal="left" vertical="center"/>
    </x:xf>
    <x:xf numFmtId="201" fontId="5" fillId="10" borderId="12" xfId="0" applyNumberFormat="1" applyFont="1" applyFill="1" applyBorder="1" applyAlignment="1">
      <x:alignment horizontal="right" vertical="center"/>
    </x:xf>
    <x:xf numFmtId="201" fontId="6" fillId="8" borderId="0" xfId="0" applyNumberFormat="1" applyFont="1" applyFill="1" applyBorder="1" applyAlignment="1">
      <x:alignment vertical="center"/>
    </x:xf>
    <x:xf numFmtId="200" fontId="10" fillId="10" borderId="7" xfId="0" applyNumberFormat="1" applyFont="1" applyFill="1" applyBorder="1" applyAlignment="1">
      <x:alignment horizontal="left" vertical="center"/>
    </x:xf>
    <x:xf numFmtId="201" fontId="11" fillId="10" borderId="0" xfId="0" applyNumberFormat="1" applyFont="1" applyFill="1" applyBorder="1" applyAlignment="1">
      <x:alignment horizontal="left" vertical="center"/>
    </x:xf>
    <x:xf numFmtId="200" fontId="11" fillId="10" borderId="9" xfId="0" applyNumberFormat="1" applyFont="1" applyFill="1" applyBorder="1" applyAlignment="1">
      <x:alignment horizontal="left" vertical="center"/>
    </x:xf>
    <x:xf numFmtId="200" fontId="11" fillId="10" borderId="10" xfId="0" applyNumberFormat="1" applyFont="1" applyFill="1" applyBorder="1" applyAlignment="1">
      <x:alignment horizontal="left" vertical="center"/>
    </x:xf>
    <x:xf numFmtId="200" fontId="12" fillId="10" borderId="11" xfId="0" applyNumberFormat="1" applyFont="1" applyFill="1" applyBorder="1" applyAlignment="1">
      <x:alignment horizontal="right" vertical="center"/>
    </x:xf>
    <x:xf numFmtId="200" fontId="13" fillId="10" borderId="12" xfId="0" applyNumberFormat="1" applyFont="1" applyFill="1" applyBorder="1" applyAlignment="1">
      <x:alignment horizontal="left" vertical="center"/>
    </x:xf>
    <x:xf numFmtId="200" fontId="5" fillId="10" borderId="12" xfId="0" applyNumberFormat="1" applyFont="1" applyFill="1" applyBorder="1" applyAlignment="1">
      <x:alignment horizontal="right" vertical="center"/>
    </x:xf>
    <x:xf numFmtId="200" fontId="13" fillId="10" borderId="13" xfId="0" applyNumberFormat="1" applyFont="1" applyFill="1" applyBorder="1" applyAlignment="1">
      <x:alignment horizontal="left" vertical="center"/>
    </x:xf>
    <x:xf numFmtId="200" fontId="6" fillId="8" borderId="0" xfId="0" applyNumberFormat="1" applyFont="1" applyFill="1" applyBorder="1" applyAlignment="1">
      <x:alignment vertical="center"/>
    </x:xf>
    <x:xf numFmtId="200" fontId="10" fillId="10" borderId="6" xfId="0" applyNumberFormat="1" applyFont="1" applyFill="1" applyBorder="1" applyAlignment="1">
      <x:alignment horizontal="left" vertical="center"/>
    </x:xf>
    <x:xf numFmtId="200" fontId="10" fillId="10" borderId="8" xfId="0" applyNumberFormat="1" applyFont="1" applyFill="1" applyBorder="1" applyAlignment="1">
      <x:alignment horizontal="left" vertical="center"/>
    </x:xf>
    <x:xf numFmtId="202" fontId="11" fillId="10" borderId="9" xfId="0" applyNumberFormat="1" applyFont="1" applyFill="1" applyBorder="1" applyAlignment="1">
      <x:alignment horizontal="left" vertical="center"/>
    </x:xf>
    <x:xf numFmtId="202" fontId="12" fillId="10" borderId="11" xfId="0" applyNumberFormat="1" applyFont="1" applyFill="1" applyBorder="1" applyAlignment="1">
      <x:alignment horizontal="right" vertical="center"/>
    </x:xf>
    <x:xf numFmtId="202" fontId="6" fillId="8" borderId="0" xfId="0" applyNumberFormat="1" applyFont="1" applyFill="1" applyBorder="1" applyAlignment="1">
      <x:alignment vertical="center"/>
    </x:xf>
    <x:xf numFmtId="202" fontId="10" fillId="10" borderId="6" xfId="0" applyNumberFormat="1" applyFont="1" applyFill="1" applyBorder="1" applyAlignment="1">
      <x:alignment horizontal="left" vertical="center"/>
    </x:xf>
    <x:xf numFmtId="200" fontId="6" fillId="10" borderId="1" xfId="0" applyNumberFormat="1" applyFont="1" applyFill="1" applyBorder="1" applyAlignment="1">
      <x:alignment horizontal="right" vertical="center"/>
    </x:xf>
    <x:xf numFmtId="201" fontId="6" fillId="1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horizontal="left" vertical="center"/>
    </x:xf>
    <x:xf numFmtId="200" fontId="4" fillId="4" borderId="1" xfId="0" applyNumberFormat="1" applyFont="1" applyFill="1" applyBorder="1" applyAlignment="1">
      <x:alignment horizontal="left" vertical="center" wrapText="1"/>
    </x:xf>
    <x:xf numFmtId="200" fontId="4" fillId="6" borderId="1" xfId="0" applyNumberFormat="1" applyFont="1" applyFill="1" applyBorder="1" applyAlignment="1">
      <x:alignment horizontal="left" vertical="center" wrapText="1"/>
    </x:xf>
    <x:xf numFmtId="200" fontId="3" fillId="7" borderId="0" xfId="0" applyNumberFormat="1" applyFont="1" applyFill="1" applyBorder="1" applyAlignment="1">
      <x:alignment horizontal="left" vertical="center"/>
    </x:xf>
    <x:xf numFmtId="200" fontId="5" fillId="2" borderId="1" xfId="0" applyNumberFormat="1" applyFont="1" applyFill="1" applyBorder="1" applyAlignment="1">
      <x:alignment horizontal="center" vertical="center" wrapText="1"/>
    </x:xf>
    <x:xf numFmtId="200" fontId="18" fillId="5" borderId="2" xfId="0" applyNumberFormat="1" applyFont="1" applyFill="1" applyBorder="1" applyAlignment="1">
      <x:alignment horizontal="right" vertical="center"/>
    </x:xf>
    <x:xf numFmtId="200" fontId="5" fillId="7" borderId="0" xfId="0" applyNumberFormat="1" applyFont="1" applyFill="1" applyBorder="1" applyAlignment="1">
      <x:alignment horizontal="left" vertical="center"/>
    </x:xf>
    <x:xf numFmtId="200" fontId="5" fillId="3" borderId="1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horizontal="left" vertical="center"/>
    </x:xf>
    <x:xf numFmtId="200" fontId="4" fillId="4" borderId="1" xfId="0" applyNumberFormat="1" applyFont="1" applyFill="1" applyBorder="1" applyAlignment="1">
      <x:alignment horizontal="left" vertical="center"/>
    </x:xf>
    <x:xf numFmtId="200" fontId="17" fillId="4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dafb587cb4762" /><Relationship Type="http://schemas.openxmlformats.org/officeDocument/2006/relationships/theme" Target="/xl/theme/theme1.xml" Id="Reafcb95e521647f4" /><Relationship Type="http://schemas.openxmlformats.org/officeDocument/2006/relationships/sharedStrings" Target="/xl/sharedStrings.xml" Id="Reaeb1fd5666e4211" /><Relationship Type="http://schemas.openxmlformats.org/officeDocument/2006/relationships/worksheet" Target="/xl/worksheets/sheet1.xml" Id="Rad39dd0c19784266" /><Relationship Type="http://schemas.openxmlformats.org/officeDocument/2006/relationships/worksheet" Target="/xl/worksheets/sheet2.xml" Id="Rf3ed6d39d9384ca8" /><Relationship Type="http://schemas.openxmlformats.org/officeDocument/2006/relationships/worksheet" Target="/xl/worksheets/sheet3.xml" Id="Rc9352e8704b749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727860d2c94413" /><Relationship Type="http://schemas.openxmlformats.org/officeDocument/2006/relationships/chart" Target="/xl/drawings/charts/chart2.xml" Id="R43dd9c663df54291" /><Relationship Type="http://schemas.openxmlformats.org/officeDocument/2006/relationships/chart" Target="/xl/drawings/charts/chart3.xml" Id="R3e58b93208234054" /><Relationship Type="http://schemas.openxmlformats.org/officeDocument/2006/relationships/chart" Target="/xl/drawings/charts/chart4.xml" Id="R03c5bdb4c4b94d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p95 TTFT by prompt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p95 TTFT (ms)</c:v>
          </c:tx>
          <c:marker>
            <c:symbol val="none"/>
          </c:marker>
          <c:cat>
            <c:strLit>
              <c:ptCount val="29"/>
              <c:pt idx="0">
                <c:v>=</c:v>
              </c:pt>
              <c:pt idx="1">
                <c:v>'</c:v>
              </c:pt>
              <c:pt idx="2">
                <c:v>_</c:v>
              </c:pt>
              <c:pt idx="3">
                <c:v>C</c:v>
              </c:pt>
              <c:pt idx="4">
                <c:v>h</c:v>
              </c:pt>
              <c:pt idx="5">
                <c:v>a</c:v>
              </c:pt>
              <c:pt idx="6">
                <c:v>r</c:v>
              </c:pt>
              <c:pt idx="7">
                <c:v>t</c:v>
              </c:pt>
              <c:pt idx="8">
                <c:v> </c:v>
              </c:pt>
              <c:pt idx="9">
                <c:v>H</c:v>
              </c:pt>
              <c:pt idx="10">
                <c:v>e</c:v>
              </c:pt>
              <c:pt idx="11">
                <c:v>l</c:v>
              </c:pt>
              <c:pt idx="12">
                <c:v>p</c:v>
              </c:pt>
              <c:pt idx="13">
                <c:v>e</c:v>
              </c:pt>
              <c:pt idx="14">
                <c:v>r</c:v>
              </c:pt>
              <c:pt idx="15">
                <c:v>s</c:v>
              </c:pt>
              <c:pt idx="16">
                <c:v>'</c:v>
              </c:pt>
              <c:pt idx="17">
                <c:v>!</c:v>
              </c:pt>
              <c:pt idx="18">
                <c:v>$</c:v>
              </c:pt>
              <c:pt idx="19">
                <c:v>A</c:v>
              </c:pt>
              <c:pt idx="20">
                <c:v>$</c:v>
              </c:pt>
              <c:pt idx="21">
                <c:v>1</c:v>
              </c:pt>
              <c:pt idx="22">
                <c:v>3</c:v>
              </c:pt>
              <c:pt idx="23">
                <c:v>:</c:v>
              </c:pt>
              <c:pt idx="24">
                <c:v>$</c:v>
              </c:pt>
              <c:pt idx="25">
                <c:v>A</c:v>
              </c:pt>
              <c:pt idx="26">
                <c:v>$</c:v>
              </c:pt>
              <c:pt idx="27">
                <c:v>1</c:v>
              </c:pt>
              <c:pt idx="28">
                <c:v>5</c:v>
              </c:pt>
            </c:strLit>
          </c:cat>
          <c:val>
            <c:numLit>
              <c:formatCode>General</c:formatCode>
              <c:ptCount val="29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  <c:pt idx="7">
                <c:v>NaN</c:v>
              </c:pt>
              <c:pt idx="8">
                <c:v>0</c:v>
              </c:pt>
              <c:pt idx="9">
                <c:v>NaN</c:v>
              </c:pt>
              <c:pt idx="10">
                <c:v>NaN</c:v>
              </c:pt>
              <c:pt idx="11">
                <c:v>NaN</c:v>
              </c:pt>
              <c:pt idx="12">
                <c:v>NaN</c:v>
              </c:pt>
              <c:pt idx="13">
                <c:v>NaN</c:v>
              </c:pt>
              <c:pt idx="14">
                <c:v>NaN</c:v>
              </c:pt>
              <c:pt idx="15">
                <c:v>NaN</c:v>
              </c:pt>
              <c:pt idx="16">
                <c:v>NaN</c:v>
              </c:pt>
              <c:pt idx="17">
                <c:v>NaN</c:v>
              </c:pt>
              <c:pt idx="18">
                <c:v>NaN</c:v>
              </c:pt>
              <c:pt idx="19">
                <c:v>NaN</c:v>
              </c:pt>
              <c:pt idx="20">
                <c:v>NaN</c:v>
              </c:pt>
              <c:pt idx="21">
                <c:v>1</c:v>
              </c:pt>
              <c:pt idx="22">
                <c:v>3</c:v>
              </c:pt>
              <c:pt idx="23">
                <c:v>NaN</c:v>
              </c:pt>
              <c:pt idx="24">
                <c:v>NaN</c:v>
              </c:pt>
              <c:pt idx="25">
                <c:v>NaN</c:v>
              </c:pt>
              <c:pt idx="26">
                <c:v>NaN</c:v>
              </c:pt>
              <c:pt idx="27">
                <c:v>1</c:v>
              </c:pt>
              <c:pt idx="28">
                <c:v>5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p95 total latency by prompt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p95 total latency (ms)</c:v>
          </c:tx>
          <c:cat>
            <c:strLit>
              <c:ptCount val="29"/>
              <c:pt idx="0">
                <c:v>=</c:v>
              </c:pt>
              <c:pt idx="1">
                <c:v>'</c:v>
              </c:pt>
              <c:pt idx="2">
                <c:v>_</c:v>
              </c:pt>
              <c:pt idx="3">
                <c:v>C</c:v>
              </c:pt>
              <c:pt idx="4">
                <c:v>h</c:v>
              </c:pt>
              <c:pt idx="5">
                <c:v>a</c:v>
              </c:pt>
              <c:pt idx="6">
                <c:v>r</c:v>
              </c:pt>
              <c:pt idx="7">
                <c:v>t</c:v>
              </c:pt>
              <c:pt idx="8">
                <c:v> </c:v>
              </c:pt>
              <c:pt idx="9">
                <c:v>H</c:v>
              </c:pt>
              <c:pt idx="10">
                <c:v>e</c:v>
              </c:pt>
              <c:pt idx="11">
                <c:v>l</c:v>
              </c:pt>
              <c:pt idx="12">
                <c:v>p</c:v>
              </c:pt>
              <c:pt idx="13">
                <c:v>e</c:v>
              </c:pt>
              <c:pt idx="14">
                <c:v>r</c:v>
              </c:pt>
              <c:pt idx="15">
                <c:v>s</c:v>
              </c:pt>
              <c:pt idx="16">
                <c:v>'</c:v>
              </c:pt>
              <c:pt idx="17">
                <c:v>!</c:v>
              </c:pt>
              <c:pt idx="18">
                <c:v>$</c:v>
              </c:pt>
              <c:pt idx="19">
                <c:v>A</c:v>
              </c:pt>
              <c:pt idx="20">
                <c:v>$</c:v>
              </c:pt>
              <c:pt idx="21">
                <c:v>1</c:v>
              </c:pt>
              <c:pt idx="22">
                <c:v>3</c:v>
              </c:pt>
              <c:pt idx="23">
                <c:v>:</c:v>
              </c:pt>
              <c:pt idx="24">
                <c:v>$</c:v>
              </c:pt>
              <c:pt idx="25">
                <c:v>A</c:v>
              </c:pt>
              <c:pt idx="26">
                <c:v>$</c:v>
              </c:pt>
              <c:pt idx="27">
                <c:v>1</c:v>
              </c:pt>
              <c:pt idx="28">
                <c:v>5</c:v>
              </c:pt>
            </c:strLit>
          </c:cat>
          <c:val>
            <c:numLit>
              <c:formatCode>General</c:formatCode>
              <c:ptCount val="29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  <c:pt idx="7">
                <c:v>NaN</c:v>
              </c:pt>
              <c:pt idx="8">
                <c:v>0</c:v>
              </c:pt>
              <c:pt idx="9">
                <c:v>NaN</c:v>
              </c:pt>
              <c:pt idx="10">
                <c:v>NaN</c:v>
              </c:pt>
              <c:pt idx="11">
                <c:v>NaN</c:v>
              </c:pt>
              <c:pt idx="12">
                <c:v>NaN</c:v>
              </c:pt>
              <c:pt idx="13">
                <c:v>NaN</c:v>
              </c:pt>
              <c:pt idx="14">
                <c:v>NaN</c:v>
              </c:pt>
              <c:pt idx="15">
                <c:v>NaN</c:v>
              </c:pt>
              <c:pt idx="16">
                <c:v>NaN</c:v>
              </c:pt>
              <c:pt idx="17">
                <c:v>NaN</c:v>
              </c:pt>
              <c:pt idx="18">
                <c:v>NaN</c:v>
              </c:pt>
              <c:pt idx="19">
                <c:v>NaN</c:v>
              </c:pt>
              <c:pt idx="20">
                <c:v>NaN</c:v>
              </c:pt>
              <c:pt idx="21">
                <c:v>1</c:v>
              </c:pt>
              <c:pt idx="22">
                <c:v>3</c:v>
              </c:pt>
              <c:pt idx="23">
                <c:v>NaN</c:v>
              </c:pt>
              <c:pt idx="24">
                <c:v>NaN</c:v>
              </c:pt>
              <c:pt idx="25">
                <c:v>NaN</c:v>
              </c:pt>
              <c:pt idx="26">
                <c:v>NaN</c:v>
              </c:pt>
              <c:pt idx="27">
                <c:v>1</c:v>
              </c:pt>
              <c:pt idx="28">
                <c:v>5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Endpoint p95 latency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p95 latency (ms)</c:v>
          </c:tx>
          <c:cat>
            <c:strLit>
              <c:ptCount val="29"/>
              <c:pt idx="0">
                <c:v>=</c:v>
              </c:pt>
              <c:pt idx="1">
                <c:v>'</c:v>
              </c:pt>
              <c:pt idx="2">
                <c:v>_</c:v>
              </c:pt>
              <c:pt idx="3">
                <c:v>C</c:v>
              </c:pt>
              <c:pt idx="4">
                <c:v>h</c:v>
              </c:pt>
              <c:pt idx="5">
                <c:v>a</c:v>
              </c:pt>
              <c:pt idx="6">
                <c:v>r</c:v>
              </c:pt>
              <c:pt idx="7">
                <c:v>t</c:v>
              </c:pt>
              <c:pt idx="8">
                <c:v> </c:v>
              </c:pt>
              <c:pt idx="9">
                <c:v>H</c:v>
              </c:pt>
              <c:pt idx="10">
                <c:v>e</c:v>
              </c:pt>
              <c:pt idx="11">
                <c:v>l</c:v>
              </c:pt>
              <c:pt idx="12">
                <c:v>p</c:v>
              </c:pt>
              <c:pt idx="13">
                <c:v>e</c:v>
              </c:pt>
              <c:pt idx="14">
                <c:v>r</c:v>
              </c:pt>
              <c:pt idx="15">
                <c:v>s</c:v>
              </c:pt>
              <c:pt idx="16">
                <c:v>'</c:v>
              </c:pt>
              <c:pt idx="17">
                <c:v>!</c:v>
              </c:pt>
              <c:pt idx="18">
                <c:v>$</c:v>
              </c:pt>
              <c:pt idx="19">
                <c:v>H</c:v>
              </c:pt>
              <c:pt idx="20">
                <c:v>$</c:v>
              </c:pt>
              <c:pt idx="21">
                <c:v>1</c:v>
              </c:pt>
              <c:pt idx="22">
                <c:v>3</c:v>
              </c:pt>
              <c:pt idx="23">
                <c:v>:</c:v>
              </c:pt>
              <c:pt idx="24">
                <c:v>$</c:v>
              </c:pt>
              <c:pt idx="25">
                <c:v>H</c:v>
              </c:pt>
              <c:pt idx="26">
                <c:v>$</c:v>
              </c:pt>
              <c:pt idx="27">
                <c:v>1</c:v>
              </c:pt>
              <c:pt idx="28">
                <c:v>4</c:v>
              </c:pt>
            </c:strLit>
          </c:cat>
          <c:val>
            <c:numLit>
              <c:formatCode>General</c:formatCode>
              <c:ptCount val="29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  <c:pt idx="7">
                <c:v>NaN</c:v>
              </c:pt>
              <c:pt idx="8">
                <c:v>0</c:v>
              </c:pt>
              <c:pt idx="9">
                <c:v>NaN</c:v>
              </c:pt>
              <c:pt idx="10">
                <c:v>NaN</c:v>
              </c:pt>
              <c:pt idx="11">
                <c:v>NaN</c:v>
              </c:pt>
              <c:pt idx="12">
                <c:v>NaN</c:v>
              </c:pt>
              <c:pt idx="13">
                <c:v>NaN</c:v>
              </c:pt>
              <c:pt idx="14">
                <c:v>NaN</c:v>
              </c:pt>
              <c:pt idx="15">
                <c:v>NaN</c:v>
              </c:pt>
              <c:pt idx="16">
                <c:v>NaN</c:v>
              </c:pt>
              <c:pt idx="17">
                <c:v>NaN</c:v>
              </c:pt>
              <c:pt idx="18">
                <c:v>NaN</c:v>
              </c:pt>
              <c:pt idx="19">
                <c:v>NaN</c:v>
              </c:pt>
              <c:pt idx="20">
                <c:v>NaN</c:v>
              </c:pt>
              <c:pt idx="21">
                <c:v>1</c:v>
              </c:pt>
              <c:pt idx="22">
                <c:v>3</c:v>
              </c:pt>
              <c:pt idx="23">
                <c:v>NaN</c:v>
              </c:pt>
              <c:pt idx="24">
                <c:v>NaN</c:v>
              </c:pt>
              <c:pt idx="25">
                <c:v>NaN</c:v>
              </c:pt>
              <c:pt idx="26">
                <c:v>NaN</c:v>
              </c:pt>
              <c:pt idx="27">
                <c:v>1</c:v>
              </c:pt>
              <c:pt idx="28">
                <c:v>4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Endpoint throughput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tokens/s</c:v>
          </c:tx>
          <c:cat>
            <c:strLit>
              <c:ptCount val="29"/>
              <c:pt idx="0">
                <c:v>=</c:v>
              </c:pt>
              <c:pt idx="1">
                <c:v>'</c:v>
              </c:pt>
              <c:pt idx="2">
                <c:v>_</c:v>
              </c:pt>
              <c:pt idx="3">
                <c:v>C</c:v>
              </c:pt>
              <c:pt idx="4">
                <c:v>h</c:v>
              </c:pt>
              <c:pt idx="5">
                <c:v>a</c:v>
              </c:pt>
              <c:pt idx="6">
                <c:v>r</c:v>
              </c:pt>
              <c:pt idx="7">
                <c:v>t</c:v>
              </c:pt>
              <c:pt idx="8">
                <c:v> </c:v>
              </c:pt>
              <c:pt idx="9">
                <c:v>H</c:v>
              </c:pt>
              <c:pt idx="10">
                <c:v>e</c:v>
              </c:pt>
              <c:pt idx="11">
                <c:v>l</c:v>
              </c:pt>
              <c:pt idx="12">
                <c:v>p</c:v>
              </c:pt>
              <c:pt idx="13">
                <c:v>e</c:v>
              </c:pt>
              <c:pt idx="14">
                <c:v>r</c:v>
              </c:pt>
              <c:pt idx="15">
                <c:v>s</c:v>
              </c:pt>
              <c:pt idx="16">
                <c:v>'</c:v>
              </c:pt>
              <c:pt idx="17">
                <c:v>!</c:v>
              </c:pt>
              <c:pt idx="18">
                <c:v>$</c:v>
              </c:pt>
              <c:pt idx="19">
                <c:v>H</c:v>
              </c:pt>
              <c:pt idx="20">
                <c:v>$</c:v>
              </c:pt>
              <c:pt idx="21">
                <c:v>1</c:v>
              </c:pt>
              <c:pt idx="22">
                <c:v>3</c:v>
              </c:pt>
              <c:pt idx="23">
                <c:v>:</c:v>
              </c:pt>
              <c:pt idx="24">
                <c:v>$</c:v>
              </c:pt>
              <c:pt idx="25">
                <c:v>H</c:v>
              </c:pt>
              <c:pt idx="26">
                <c:v>$</c:v>
              </c:pt>
              <c:pt idx="27">
                <c:v>1</c:v>
              </c:pt>
              <c:pt idx="28">
                <c:v>4</c:v>
              </c:pt>
            </c:strLit>
          </c:cat>
          <c:val>
            <c:numLit>
              <c:formatCode>General</c:formatCode>
              <c:ptCount val="29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  <c:pt idx="7">
                <c:v>NaN</c:v>
              </c:pt>
              <c:pt idx="8">
                <c:v>0</c:v>
              </c:pt>
              <c:pt idx="9">
                <c:v>NaN</c:v>
              </c:pt>
              <c:pt idx="10">
                <c:v>NaN</c:v>
              </c:pt>
              <c:pt idx="11">
                <c:v>NaN</c:v>
              </c:pt>
              <c:pt idx="12">
                <c:v>NaN</c:v>
              </c:pt>
              <c:pt idx="13">
                <c:v>NaN</c:v>
              </c:pt>
              <c:pt idx="14">
                <c:v>NaN</c:v>
              </c:pt>
              <c:pt idx="15">
                <c:v>NaN</c:v>
              </c:pt>
              <c:pt idx="16">
                <c:v>NaN</c:v>
              </c:pt>
              <c:pt idx="17">
                <c:v>NaN</c:v>
              </c:pt>
              <c:pt idx="18">
                <c:v>NaN</c:v>
              </c:pt>
              <c:pt idx="19">
                <c:v>NaN</c:v>
              </c:pt>
              <c:pt idx="20">
                <c:v>NaN</c:v>
              </c:pt>
              <c:pt idx="21">
                <c:v>1</c:v>
              </c:pt>
              <c:pt idx="22">
                <c:v>3</c:v>
              </c:pt>
              <c:pt idx="23">
                <c:v>NaN</c:v>
              </c:pt>
              <c:pt idx="24">
                <c:v>NaN</c:v>
              </c:pt>
              <c:pt idx="25">
                <c:v>NaN</c:v>
              </c:pt>
              <c:pt idx="26">
                <c:v>NaN</c:v>
              </c:pt>
              <c:pt idx="27">
                <c:v>1</c:v>
              </c:pt>
              <c:pt idx="28">
                <c:v>4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15</xdr:row>
      <xdr:rowOff>0</xdr:rowOff>
    </xdr:from>
    <xdr:ext cx="5619750" cy="25241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727860d2c94413"/>
        </a:graphicData>
      </a:graphic>
    </xdr:graphicFrame>
    <xdr:clientData/>
  </xdr:oneCellAnchor>
  <xdr:oneCellAnchor>
    <xdr:from>
      <xdr:col>9</xdr:col>
      <xdr:colOff>0</xdr:colOff>
      <xdr:row>15</xdr:row>
      <xdr:rowOff>0</xdr:rowOff>
    </xdr:from>
    <xdr:ext cx="5619750" cy="252412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dd9c663df54291"/>
        </a:graphicData>
      </a:graphic>
    </xdr:graphicFrame>
    <xdr:clientData/>
  </xdr:oneCellAnchor>
  <xdr:oneCellAnchor>
    <xdr:from>
      <xdr:col>1</xdr:col>
      <xdr:colOff>0</xdr:colOff>
      <xdr:row>29</xdr:row>
      <xdr:rowOff>0</xdr:rowOff>
    </xdr:from>
    <xdr:ext cx="5619750" cy="2524125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58b93208234054"/>
        </a:graphicData>
      </a:graphic>
    </xdr:graphicFrame>
    <xdr:clientData/>
  </xdr:oneCellAnchor>
  <xdr:oneCellAnchor>
    <xdr:from>
      <xdr:col>9</xdr:col>
      <xdr:colOff>0</xdr:colOff>
      <xdr:row>29</xdr:row>
      <xdr:rowOff>0</xdr:rowOff>
    </xdr:from>
    <xdr:ext cx="5619750" cy="2524125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c5bdb4c4b94d2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db8fd0537a48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tr">
        <x:v>LLM TTFT Benchmark</x:v>
      </x:c>
      <x:c r="C2" s="39"/>
      <x:c r="D2" s="39"/>
      <x:c r="E2" s="39"/>
      <x:c r="F2" s="39"/>
      <x:c r="G2" s="39"/>
      <x:c r="H2" s="39"/>
      <x:c r="I2" s="39"/>
      <x:c r="J2" s="40" t="str">
        <x:v>Model</x:v>
      </x:c>
      <x:c r="K2" s="41"/>
      <x:c r="L2" s="41"/>
      <x:c r="M2" s="42"/>
      <x:c r="N2" s="40" t="str">
        <x:v>Benchmark note</x:v>
      </x:c>
      <x:c r="O2" s="41"/>
      <x:c r="P2" s="41"/>
      <x:c r="Q2" s="42"/>
    </x:row>
    <x:row r="3" ht="24" customHeight="1">
      <x:c r="B3" s="38" t="str">
        <x:v>Latency and throughput dashboard</x:v>
      </x:c>
      <x:c r="C3" s="38"/>
      <x:c r="D3" s="38"/>
      <x:c r="E3" s="38"/>
      <x:c r="F3" s="38"/>
      <x:c r="G3" s="38"/>
      <x:c r="H3" s="38"/>
      <x:c r="I3" s="38"/>
      <x:c r="J3" s="43" t="str">
        <x:v>distilgpt2</x:v>
      </x:c>
      <x:c r="K3" s="44"/>
      <x:c r="L3" s="44"/>
      <x:c r="M3" s="45"/>
      <x:c r="N3" s="43" t="str">
        <x:v>6 requests; add repetitions before final reporting.</x:v>
      </x:c>
      <x:c r="O3" s="44"/>
      <x:c r="P3" s="44"/>
      <x:c r="Q3" s="45"/>
    </x:row>
    <x:row r="4" ht="20" customHeight="1">
      <x:c r="B4" s="46" t="str">
        <x:v>Source: benchmark_results/results.csv; model distilgpt2; device mps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tr">
        <x:v>p95 TTFT</x:v>
      </x:c>
      <x:c r="C5" s="48"/>
      <x:c r="D5" s="48"/>
      <x:c r="E5" s="49"/>
      <x:c r="F5" s="47" t="str">
        <x:v>Mean latency</x:v>
      </x:c>
      <x:c r="G5" s="48"/>
      <x:c r="H5" s="48"/>
      <x:c r="I5" s="49"/>
      <x:c r="J5" s="47" t="str">
        <x:v>Mean throughput</x:v>
      </x:c>
      <x:c r="K5" s="48"/>
      <x:c r="L5" s="48"/>
      <x:c r="M5" s="49"/>
      <x:c r="N5" s="47" t="str">
        <x:v>Requests</x:v>
      </x:c>
      <x:c r="O5" s="48"/>
      <x:c r="P5" s="48"/>
      <x:c r="Q5" s="49"/>
    </x:row>
    <x:row r="6" ht="27" customHeight="1">
      <x:c r="B6" s="94" t="n">
        <x:f>'_Chart Helpers'!$B$2</x:f>
        <x:v>175.8</x:v>
      </x:c>
      <x:c r="C6" s="89"/>
      <x:c r="D6" s="89"/>
      <x:c r="E6" s="95"/>
      <x:c r="F6" s="94" t="n">
        <x:f>'_Chart Helpers'!$B$3</x:f>
        <x:v>2089.7</x:v>
      </x:c>
      <x:c r="G6" s="89"/>
      <x:c r="H6" s="89"/>
      <x:c r="I6" s="95"/>
      <x:c r="J6" s="94" t="n">
        <x:f>'_Chart Helpers'!$B$4</x:f>
        <x:v>38.2</x:v>
      </x:c>
      <x:c r="K6" s="89"/>
      <x:c r="L6" s="89"/>
      <x:c r="M6" s="95"/>
      <x:c r="N6" s="103" t="n">
        <x:f>'_Chart Helpers'!$B$5</x:f>
        <x:v>6</x:v>
      </x:c>
      <x:c r="O6" s="89"/>
      <x:c r="P6" s="89"/>
      <x:c r="Q6" s="95"/>
    </x:row>
    <x:row r="7" ht="27" customHeight="1">
      <x:c r="B7" s="94"/>
      <x:c r="C7" s="89"/>
      <x:c r="D7" s="89"/>
      <x:c r="E7" s="95"/>
      <x:c r="F7" s="94"/>
      <x:c r="G7" s="89"/>
      <x:c r="H7" s="89"/>
      <x:c r="I7" s="95"/>
      <x:c r="J7" s="94"/>
      <x:c r="K7" s="89"/>
      <x:c r="L7" s="89"/>
      <x:c r="M7" s="95"/>
      <x:c r="N7" s="103"/>
      <x:c r="O7" s="89"/>
      <x:c r="P7" s="89"/>
      <x:c r="Q7" s="95"/>
    </x:row>
    <x:row r="8" ht="20" customHeight="1">
      <x:c r="B8" s="96"/>
      <x:c r="C8" s="97" t="str">
        <x:v>vs prior</x:v>
      </x:c>
      <x:c r="D8" s="98"/>
      <x:c r="E8" s="99" t="str">
        <x:v>vs target</x:v>
      </x:c>
      <x:c r="F8" s="96"/>
      <x:c r="G8" s="97" t="str">
        <x:v>vs prior</x:v>
      </x:c>
      <x:c r="H8" s="98"/>
      <x:c r="I8" s="99" t="str">
        <x:v>vs target</x:v>
      </x:c>
      <x:c r="J8" s="96"/>
      <x:c r="K8" s="97" t="str">
        <x:v>vs prior</x:v>
      </x:c>
      <x:c r="L8" s="98"/>
      <x:c r="M8" s="99" t="str">
        <x:v>vs target</x:v>
      </x:c>
      <x:c r="N8" s="104"/>
      <x:c r="O8" s="97" t="str">
        <x:v>vs prior</x:v>
      </x:c>
      <x:c r="P8" s="98"/>
      <x:c r="Q8" s="99" t="str">
        <x:v>vs target</x:v>
      </x:c>
    </x:row>
    <x:row r="9"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5"/>
      <x:c r="O9" s="100"/>
      <x:c r="P9" s="100"/>
      <x:c r="Q9" s="100"/>
    </x:row>
    <x:row r="10" ht="20" customHeight="1">
      <x:c r="B10" s="101" t="str">
        <x:v>Streaming p95 latency</x:v>
      </x:c>
      <x:c r="C10" s="92"/>
      <x:c r="D10" s="92"/>
      <x:c r="E10" s="102"/>
      <x:c r="F10" s="101" t="str">
        <x:v>Mean output tokens</x:v>
      </x:c>
      <x:c r="G10" s="92"/>
      <x:c r="H10" s="92"/>
      <x:c r="I10" s="102"/>
      <x:c r="J10" s="101" t="str">
        <x:v>Max input tokens</x:v>
      </x:c>
      <x:c r="K10" s="92"/>
      <x:c r="L10" s="92"/>
      <x:c r="M10" s="102"/>
      <x:c r="N10" s="106" t="str">
        <x:v>Model variants</x:v>
      </x:c>
      <x:c r="O10" s="92"/>
      <x:c r="P10" s="92"/>
      <x:c r="Q10" s="102"/>
    </x:row>
    <x:row r="11" ht="27" customHeight="1">
      <x:c r="B11" s="94" t="n">
        <x:f>'_Chart Helpers'!$B$6</x:f>
        <x:v>2074.4</x:v>
      </x:c>
      <x:c r="C11" s="89"/>
      <x:c r="D11" s="89"/>
      <x:c r="E11" s="95"/>
      <x:c r="F11" s="94" t="n">
        <x:f>'_Chart Helpers'!$B$7</x:f>
        <x:v>72.8</x:v>
      </x:c>
      <x:c r="G11" s="89"/>
      <x:c r="H11" s="89"/>
      <x:c r="I11" s="95"/>
      <x:c r="J11" s="94" t="n">
        <x:f>'_Chart Helpers'!$B$8</x:f>
        <x:v>44</x:v>
      </x:c>
      <x:c r="K11" s="89"/>
      <x:c r="L11" s="89"/>
      <x:c r="M11" s="95"/>
      <x:c r="N11" s="103" t="n">
        <x:f>'_Chart Helpers'!$B$9</x:f>
        <x:v>1</x:v>
      </x:c>
      <x:c r="O11" s="89"/>
      <x:c r="P11" s="89"/>
      <x:c r="Q11" s="95"/>
    </x:row>
    <x:row r="12" ht="27" customHeight="1">
      <x:c r="B12" s="78"/>
      <x:c r="C12" s="79"/>
      <x:c r="D12" s="93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3"/>
      <x:c r="C13" s="14" t="str">
        <x:v>vs prior</x:v>
      </x:c>
      <x:c r="D13" s="90"/>
      <x:c r="E13" s="16" t="str">
        <x:v>vs target</x:v>
      </x:c>
      <x:c r="F13" s="13"/>
      <x:c r="G13" s="14" t="str">
        <x:v>vs prior</x:v>
      </x:c>
      <x:c r="H13" s="15"/>
      <x:c r="I13" s="16" t="str">
        <x:v>vs target</x:v>
      </x:c>
      <x:c r="J13" s="13"/>
      <x:c r="K13" s="14" t="str">
        <x:v>vs prior</x:v>
      </x:c>
      <x:c r="L13" s="15"/>
      <x:c r="M13" s="16" t="str">
        <x:v>vs target</x:v>
      </x:c>
      <x:c r="N13" s="13"/>
      <x:c r="O13" s="14" t="str">
        <x:v>vs prior</x:v>
      </x:c>
      <x:c r="P13" s="15"/>
      <x:c r="Q13" s="16" t="str">
        <x:v>vs target</x:v>
      </x:c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tr">
        <x:v>p95 TTFT by prompt</x:v>
      </x:c>
      <x:c r="C15" s="56"/>
      <x:c r="D15" s="56"/>
      <x:c r="E15" s="56"/>
      <x:c r="F15" s="56"/>
      <x:c r="G15" s="56"/>
      <x:c r="H15" s="56"/>
      <x:c r="I15" s="56"/>
      <x:c r="J15" s="56" t="str">
        <x:v>p95 total latency by prompt</x:v>
      </x:c>
      <x:c r="K15" s="56"/>
      <x:c r="L15" s="56"/>
      <x:c r="M15" s="56"/>
      <x:c r="N15" s="56"/>
      <x:c r="O15" s="56"/>
      <x:c r="P15" s="56"/>
      <x:c r="Q15" s="56"/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tr">
        <x:v>Endpoint p95 latency</x:v>
      </x:c>
      <x:c r="C29" s="56"/>
      <x:c r="D29" s="56"/>
      <x:c r="E29" s="56"/>
      <x:c r="F29" s="56"/>
      <x:c r="G29" s="56"/>
      <x:c r="H29" s="56"/>
      <x:c r="I29" s="56"/>
      <x:c r="J29" s="56" t="str">
        <x:v>Endpoint throughput</x:v>
      </x:c>
      <x:c r="K29" s="56"/>
      <x:c r="L29" s="56"/>
      <x:c r="M29" s="56"/>
      <x:c r="N29" s="56"/>
      <x:c r="O29" s="56"/>
      <x:c r="P29" s="56"/>
      <x:c r="Q29" s="56"/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Metric summary</x:v>
      </x:c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</x:row>
    <x:row r="44" ht="26" customHeight="1">
      <x:c r="B44" s="17" t="str">
        <x:v>Metric</x:v>
      </x:c>
      <x:c r="C44" s="17" t="str">
        <x:v>Goal</x:v>
      </x:c>
      <x:c r="D44" s="17" t="str">
        <x:v>Actual</x:v>
      </x:c>
      <x:c r="E44" s="17" t="str">
        <x:v>Target</x:v>
      </x:c>
      <x:c r="F44" s="17" t="str">
        <x:v>Absolute variance</x:v>
      </x:c>
      <x:c r="G44" s="17" t="str">
        <x:v>Variance %</x:v>
      </x:c>
      <x:c r="H44" s="17" t="str">
        <x:v>Status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f>'_Chart Helpers'!$A$2</x:f>
        <x:v>p95 TTFT (ms)</x:v>
      </x:c>
      <x:c r="C45" s="19" t="str">
        <x:f>'_Chart Helpers'!$E$2</x:f>
        <x:v>Lower</x:v>
      </x:c>
      <x:c r="D45" s="107" t="n">
        <x:f>'_Chart Helpers'!$B$2</x:f>
        <x:v>175.8</x:v>
      </x:c>
      <x:c r="E45" s="107" t="n">
        <x:f>'_Chart Helpers'!$C$2</x:f>
        <x:v>150</x:v>
      </x:c>
      <x:c r="F45" s="107" t="n">
        <x:f t="shared" ref="F45:F52" si="0">D45-E45</x:f>
        <x:v>25.80000000000001</x:v>
      </x:c>
      <x:c r="G45" s="108" t="n">
        <x:f t="shared" ref="G45:G52" si="1">IFERROR(D45/E45-1,"")</x:f>
        <x:v>0.17200000000000015</x:v>
      </x:c>
      <x:c r="H45" s="19" t="str">
        <x:f>'_Chart Helpers'!$F$2</x:f>
        <x:v>Unfavorable</x:v>
      </x:c>
      <x:c r="I45" s="12"/>
      <x:c r="J45" s="57"/>
      <x:c r="K45" s="58"/>
      <x:c r="L45" s="58"/>
      <x:c r="M45" s="58"/>
      <x:c r="N45" s="58"/>
      <x:c r="O45" s="58"/>
      <x:c r="P45" s="58"/>
      <x:c r="Q45" s="59"/>
    </x:row>
    <x:row r="46">
      <x:c r="B46" s="18" t="str">
        <x:f>'_Chart Helpers'!$A$3</x:f>
        <x:v>Mean total latency (ms)</x:v>
      </x:c>
      <x:c r="C46" s="19" t="str">
        <x:f>'_Chart Helpers'!$E$3</x:f>
        <x:v>Lower</x:v>
      </x:c>
      <x:c r="D46" s="107" t="n">
        <x:f>'_Chart Helpers'!$B$3</x:f>
        <x:v>2089.7</x:v>
      </x:c>
      <x:c r="E46" s="107" t="n">
        <x:f>'_Chart Helpers'!$C$3</x:f>
        <x:v>2000</x:v>
      </x:c>
      <x:c r="F46" s="107" t="n">
        <x:f t="shared" si="0">D46-E46</x:f>
        <x:v>89.69999999999982</x:v>
      </x:c>
      <x:c r="G46" s="108" t="n">
        <x:f t="shared" si="1">IFERROR(D46/E46-1,"")</x:f>
        <x:v>0.044849999999999834</x:v>
      </x:c>
      <x:c r="H46" s="19" t="str">
        <x:f>'_Chart Helpers'!$F$3</x:f>
        <x:v>Watch</x:v>
      </x:c>
      <x:c r="I46" s="12"/>
      <x:c r="J46" s="60"/>
      <x:c r="K46" s="61"/>
      <x:c r="L46" s="61"/>
      <x:c r="M46" s="61"/>
      <x:c r="N46" s="61"/>
      <x:c r="O46" s="61"/>
      <x:c r="P46" s="61"/>
      <x:c r="Q46" s="62"/>
    </x:row>
    <x:row r="47">
      <x:c r="B47" s="18" t="str">
        <x:f>'_Chart Helpers'!$A$4</x:f>
        <x:v>Mean throughput (tok/s)</x:v>
      </x:c>
      <x:c r="C47" s="19" t="str">
        <x:f>'_Chart Helpers'!$E$4</x:f>
        <x:v>Higher</x:v>
      </x:c>
      <x:c r="D47" s="107" t="n">
        <x:f>'_Chart Helpers'!$B$4</x:f>
        <x:v>38.2</x:v>
      </x:c>
      <x:c r="E47" s="107" t="n">
        <x:f>'_Chart Helpers'!$C$4</x:f>
        <x:v>35</x:v>
      </x:c>
      <x:c r="F47" s="107" t="n">
        <x:f t="shared" si="0">D47-E47</x:f>
        <x:v>3.200000000000003</x:v>
      </x:c>
      <x:c r="G47" s="108" t="n">
        <x:f t="shared" si="1">IFERROR(D47/E47-1,"")</x:f>
        <x:v>0.09142857142857141</x:v>
      </x:c>
      <x:c r="H47" s="19" t="str">
        <x:f>'_Chart Helpers'!$F$4</x:f>
        <x:v>Favorable</x:v>
      </x:c>
      <x:c r="I47" s="12"/>
      <x:c r="J47" s="60"/>
      <x:c r="K47" s="61"/>
      <x:c r="L47" s="61"/>
      <x:c r="M47" s="61"/>
      <x:c r="N47" s="61"/>
      <x:c r="O47" s="61"/>
      <x:c r="P47" s="61"/>
      <x:c r="Q47" s="62"/>
    </x:row>
    <x:row r="48">
      <x:c r="B48" s="18" t="str">
        <x:f>'_Chart Helpers'!$A$5</x:f>
        <x:v>Benchmark requests</x:v>
      </x:c>
      <x:c r="C48" s="19" t="str">
        <x:f>'_Chart Helpers'!$E$5</x:f>
        <x:v>Higher</x:v>
      </x:c>
      <x:c r="D48" s="107" t="n">
        <x:f>'_Chart Helpers'!$B$5</x:f>
        <x:v>6</x:v>
      </x:c>
      <x:c r="E48" s="107" t="n">
        <x:f>'_Chart Helpers'!$C$5</x:f>
        <x:v>30</x:v>
      </x:c>
      <x:c r="F48" s="107" t="n">
        <x:f t="shared" si="0">D48-E48</x:f>
        <x:v>-24</x:v>
      </x:c>
      <x:c r="G48" s="108" t="n">
        <x:f t="shared" si="1">IFERROR(D48/E48-1,"")</x:f>
        <x:v>-0.8</x:v>
      </x:c>
      <x:c r="H48" s="19" t="str">
        <x:f>'_Chart Helpers'!$F$5</x:f>
        <x:v>Unfavorable</x:v>
      </x:c>
      <x:c r="I48" s="12"/>
      <x:c r="J48" s="63"/>
      <x:c r="K48" s="64"/>
      <x:c r="L48" s="64"/>
      <x:c r="M48" s="64"/>
      <x:c r="N48" s="64"/>
      <x:c r="O48" s="64"/>
      <x:c r="P48" s="64"/>
      <x:c r="Q48" s="65"/>
    </x:row>
    <x:row r="49">
      <x:c r="B49" s="18" t="str">
        <x:f>'_Chart Helpers'!$A$6</x:f>
        <x:v>Streaming p95 latency (ms)</x:v>
      </x:c>
      <x:c r="C49" s="19" t="str">
        <x:f>'_Chart Helpers'!$E$6</x:f>
        <x:v>Lower</x:v>
      </x:c>
      <x:c r="D49" s="107" t="n">
        <x:f>'_Chart Helpers'!$B$6</x:f>
        <x:v>2074.4</x:v>
      </x:c>
      <x:c r="E49" s="107" t="n">
        <x:f>'_Chart Helpers'!$C$6</x:f>
        <x:v>2000</x:v>
      </x:c>
      <x:c r="F49" s="107" t="n">
        <x:f t="shared" si="0">D49-E49</x:f>
        <x:v>74.40000000000009</x:v>
      </x:c>
      <x:c r="G49" s="108" t="n">
        <x:f t="shared" si="1">IFERROR(D49/E49-1,"")</x:f>
        <x:v>0.03720000000000012</x:v>
      </x:c>
      <x:c r="H49" s="19" t="str">
        <x:f>'_Chart Helpers'!$F$6</x:f>
        <x:v>Watch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 t="str">
        <x:f>'_Chart Helpers'!$A$7</x:f>
        <x:v>Mean output tokens</x:v>
      </x:c>
      <x:c r="C50" s="19" t="str">
        <x:f>'_Chart Helpers'!$E$7</x:f>
        <x:v>Higher</x:v>
      </x:c>
      <x:c r="D50" s="107" t="n">
        <x:f>'_Chart Helpers'!$B$7</x:f>
        <x:v>72.8</x:v>
      </x:c>
      <x:c r="E50" s="107" t="n">
        <x:f>'_Chart Helpers'!$C$7</x:f>
        <x:v>80</x:v>
      </x:c>
      <x:c r="F50" s="107" t="n">
        <x:f t="shared" si="0">D50-E50</x:f>
        <x:v>-7.200000000000003</x:v>
      </x:c>
      <x:c r="G50" s="108" t="n">
        <x:f t="shared" si="1">IFERROR(D50/E50-1,"")</x:f>
        <x:v>-0.09000000000000008</x:v>
      </x:c>
      <x:c r="H50" s="19" t="str">
        <x:f>'_Chart Helpers'!$F$7</x:f>
        <x:v>Unfavorable</x:v>
      </x:c>
      <x:c r="I50" s="12"/>
      <x:c r="J50" s="66"/>
      <x:c r="K50" s="67"/>
      <x:c r="L50" s="67"/>
      <x:c r="M50" s="67"/>
      <x:c r="N50" s="67"/>
      <x:c r="O50" s="67"/>
      <x:c r="P50" s="67"/>
      <x:c r="Q50" s="68"/>
    </x:row>
    <x:row r="51">
      <x:c r="B51" s="18" t="str">
        <x:f>'_Chart Helpers'!$A$8</x:f>
        <x:v>Max input tokens</x:v>
      </x:c>
      <x:c r="C51" s="19" t="str">
        <x:f>'_Chart Helpers'!$E$8</x:f>
        <x:v>Lower</x:v>
      </x:c>
      <x:c r="D51" s="107" t="n">
        <x:f>'_Chart Helpers'!$B$8</x:f>
        <x:v>44</x:v>
      </x:c>
      <x:c r="E51" s="107" t="n">
        <x:f>'_Chart Helpers'!$C$8</x:f>
        <x:v>100</x:v>
      </x:c>
      <x:c r="F51" s="107" t="n">
        <x:f t="shared" si="0">D51-E51</x:f>
        <x:v>-56</x:v>
      </x:c>
      <x:c r="G51" s="108" t="n">
        <x:f t="shared" si="1">IFERROR(D51/E51-1,"")</x:f>
        <x:v>-0.56</x:v>
      </x:c>
      <x:c r="H51" s="19" t="str">
        <x:f>'_Chart Helpers'!$F$8</x:f>
        <x:v>Favorable</x:v>
      </x:c>
      <x:c r="I51" s="12"/>
      <x:c r="J51" s="69"/>
      <x:c r="K51" s="70"/>
      <x:c r="L51" s="70"/>
      <x:c r="M51" s="70"/>
      <x:c r="N51" s="70"/>
      <x:c r="O51" s="70"/>
      <x:c r="P51" s="70"/>
      <x:c r="Q51" s="71"/>
    </x:row>
    <x:row r="52">
      <x:c r="B52" s="18" t="str">
        <x:f>'_Chart Helpers'!$A$9</x:f>
        <x:v>Model variants</x:v>
      </x:c>
      <x:c r="C52" s="19" t="str">
        <x:f>'_Chart Helpers'!$E$9</x:f>
        <x:v>Higher</x:v>
      </x:c>
      <x:c r="D52" s="107" t="n">
        <x:f>'_Chart Helpers'!$B$9</x:f>
        <x:v>1</x:v>
      </x:c>
      <x:c r="E52" s="107" t="n">
        <x:f>'_Chart Helpers'!$C$9</x:f>
        <x:v>2</x:v>
      </x:c>
      <x:c r="F52" s="107" t="n">
        <x:f t="shared" si="0">D52-E52</x:f>
        <x:v>-1</x:v>
      </x:c>
      <x:c r="G52" s="108" t="n">
        <x:f t="shared" si="1">IFERROR(D52/E52-1,"")</x:f>
        <x:v>-0.5</x:v>
      </x:c>
      <x:c r="H52" s="19" t="str">
        <x:f>'_Chart Helpers'!$F$9</x:f>
        <x:v>Unfavorable</x:v>
      </x:c>
      <x:c r="I52" s="12"/>
      <x:c r="J52" s="72"/>
      <x:c r="K52" s="73"/>
      <x:c r="L52" s="73"/>
      <x:c r="M52" s="73"/>
      <x:c r="N52" s="73"/>
      <x:c r="O52" s="73"/>
      <x:c r="P52" s="73"/>
      <x:c r="Q52" s="74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a3db8fd0537a48e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7" style="27" customWidth="1"/>
    <x:col min="6" max="6" width="18" style="27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</x:cols>
  <x:sheetData>
    <x:row r="1">
      <x:c r="A1" t="str">
        <x:v>LLM benchmark source data</x:v>
      </x:c>
      <x:c r="B1"/>
      <x:c r="C1"/>
      <x:c r="D1"/>
      <x:c r="E1"/>
      <x:c r="F1"/>
      <x:c r="G1"/>
      <x:c r="H1"/>
    </x:row>
    <x:row r="2" ht="26" customHeight="1"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A3" t="str">
        <x:v>request_id</x:v>
      </x:c>
      <x:c r="B3" s="38" t="str">
        <x:v>endpoint</x:v>
      </x:c>
      <x:c r="C3" s="37" t="str">
        <x:v>prompt_name</x:v>
      </x:c>
      <x:c r="D3" s="37" t="str">
        <x:v>input_tokens</x:v>
      </x:c>
      <x:c r="E3" s="37" t="str">
        <x:v>output_tokens</x:v>
      </x:c>
      <x:c r="F3" s="37" t="str">
        <x:v>ttft_ms</x:v>
      </x:c>
      <x:c r="G3" s="37" t="str">
        <x:v>total_latency_ms</x:v>
      </x:c>
      <x:c r="H3" s="37" t="str">
        <x:v>tokens_per_second</x:v>
      </x:c>
      <x:c r="I3" s="37"/>
      <x:c r="J3" s="37" t="str">
        <x:v>endpoint</x:v>
      </x:c>
      <x:c r="K3" s="37" t="str">
        <x:v>requests</x:v>
      </x:c>
      <x:c r="L3" s="37" t="str">
        <x:v>p95_latency_ms</x:v>
      </x:c>
      <x:c r="M3" s="37" t="str">
        <x:v>mean_tokens_per_second</x:v>
      </x:c>
      <x:c r="N3" s="37" t="str">
        <x:v>mean_output_tokens</x:v>
      </x:c>
      <x:c r="O3" s="37"/>
      <x:c r="P3" s="37"/>
    </x:row>
    <x:row r="4">
      <x:c r="A4" t="n">
        <x:v>0</x:v>
      </x:c>
      <x:c r="B4" s="28" t="str">
        <x:v>generate</x:v>
      </x:c>
      <x:c r="C4" s="28" t="str">
        <x:v>short</x:v>
      </x:c>
      <x:c r="D4" s="109" t="n">
        <x:v>8</x:v>
      </x:c>
      <x:c r="E4" s="109" t="n">
        <x:v>80</x:v>
      </x:c>
      <x:c r="F4" s="109"/>
      <x:c r="G4" s="109" t="n">
        <x:v>3849.9597909999998</x:v>
      </x:c>
      <x:c r="H4" s="109" t="n">
        <x:v>20.779437797510234</x:v>
      </x:c>
      <x:c r="I4" s="28"/>
      <x:c r="J4" s="28" t="str">
        <x:v>generate</x:v>
      </x:c>
      <x:c r="K4" s="109" t="n">
        <x:v>3</x:v>
      </x:c>
      <x:c r="L4" s="109" t="n">
        <x:v>3850</x:v>
      </x:c>
      <x:c r="M4" s="109" t="n">
        <x:v>37.9</x:v>
      </x:c>
      <x:c r="N4" s="109" t="n">
        <x:v>80</x:v>
      </x:c>
      <x:c r="O4" s="28"/>
      <x:c r="P4" s="28"/>
    </x:row>
    <x:row r="5" ht="22" customHeight="1">
      <x:c r="A5" t="n">
        <x:v>0</x:v>
      </x:c>
      <x:c r="B5" s="87" t="str">
        <x:v>generate-stream</x:v>
      </x:c>
      <x:c r="C5" s="87" t="str">
        <x:v>short</x:v>
      </x:c>
      <x:c r="D5" s="110" t="n">
        <x:v>8</x:v>
      </x:c>
      <x:c r="E5" s="110" t="n">
        <x:v>79</x:v>
      </x:c>
      <x:c r="F5" s="110" t="n">
        <x:v>175.77512499999992</x:v>
      </x:c>
      <x:c r="G5" s="110" t="n">
        <x:v>2035.7703749999998</x:v>
      </x:c>
      <x:c r="H5" s="110" t="n">
        <x:v>38.80594833786203</x:v>
      </x:c>
      <x:c r="I5" s="87"/>
      <x:c r="J5" s="87" t="str">
        <x:v>generate-stream</x:v>
      </x:c>
      <x:c r="K5" s="110" t="n">
        <x:v>3</x:v>
      </x:c>
      <x:c r="L5" s="110" t="n">
        <x:v>2074.4</x:v>
      </x:c>
      <x:c r="M5" s="110" t="n">
        <x:v>38.5</x:v>
      </x:c>
      <x:c r="N5" s="110" t="n">
        <x:v>66</x:v>
      </x:c>
      <x:c r="O5" s="87"/>
      <x:c r="P5" s="87"/>
    </x:row>
    <x:row r="6" ht="22" customHeight="1">
      <x:c r="A6" t="n">
        <x:v>0</x:v>
      </x:c>
      <x:c r="B6" s="88" t="str">
        <x:v>generate</x:v>
      </x:c>
      <x:c r="C6" s="88" t="str">
        <x:v>medium</x:v>
      </x:c>
      <x:c r="D6" s="111" t="n">
        <x:v>23</x:v>
      </x:c>
      <x:c r="E6" s="111" t="n">
        <x:v>80</x:v>
      </x:c>
      <x:c r="F6" s="111"/>
      <x:c r="G6" s="111" t="n">
        <x:v>2095.846334</x:v>
      </x:c>
      <x:c r="H6" s="111" t="n">
        <x:v>38.17073737811543</x:v>
      </x:c>
      <x:c r="I6" s="88"/>
      <x:c r="J6" s="88"/>
      <x:c r="K6" s="111"/>
      <x:c r="L6" s="111"/>
      <x:c r="M6" s="111"/>
      <x:c r="N6" s="111"/>
      <x:c r="O6" s="88"/>
      <x:c r="P6" s="88"/>
    </x:row>
    <x:row r="7" ht="22" customHeight="1">
      <x:c r="A7" t="n">
        <x:v>0</x:v>
      </x:c>
      <x:c r="B7" s="88" t="str">
        <x:v>generate-stream</x:v>
      </x:c>
      <x:c r="C7" s="88" t="str">
        <x:v>medium</x:v>
      </x:c>
      <x:c r="D7" s="111" t="n">
        <x:v>23</x:v>
      </x:c>
      <x:c r="E7" s="111" t="n">
        <x:v>78</x:v>
      </x:c>
      <x:c r="F7" s="111" t="n">
        <x:v>161.17262499999984</x:v>
      </x:c>
      <x:c r="G7" s="111" t="n">
        <x:v>2074.404333</x:v>
      </x:c>
      <x:c r="H7" s="111" t="n">
        <x:v>37.60115555061367</x:v>
      </x:c>
      <x:c r="I7" s="88"/>
      <x:c r="J7" s="88"/>
      <x:c r="K7" s="111"/>
      <x:c r="L7" s="111"/>
      <x:c r="M7" s="111"/>
      <x:c r="N7" s="111"/>
      <x:c r="O7" s="88"/>
      <x:c r="P7" s="88"/>
    </x:row>
    <x:row r="8">
      <x:c r="A8" t="n">
        <x:v>0</x:v>
      </x:c>
      <x:c r="B8" s="28" t="str">
        <x:v>generate</x:v>
      </x:c>
      <x:c r="C8" s="28" t="str">
        <x:v>long</x:v>
      </x:c>
      <x:c r="D8" s="109" t="n">
        <x:v>44</x:v>
      </x:c>
      <x:c r="E8" s="109" t="n">
        <x:v>80</x:v>
      </x:c>
      <x:c r="F8" s="109"/>
      <x:c r="G8" s="109" t="n">
        <x:v>1462.0170830000002</x:v>
      </x:c>
      <x:c r="H8" s="109" t="n">
        <x:v>54.718922870479204</x:v>
      </x:c>
      <x:c r="I8" s="28"/>
      <x:c r="J8" s="28"/>
      <x:c r="K8" s="109"/>
      <x:c r="L8" s="109"/>
      <x:c r="M8" s="109"/>
      <x:c r="N8" s="109"/>
      <x:c r="O8" s="28"/>
      <x:c r="P8" s="28"/>
    </x:row>
    <x:row r="9">
      <x:c r="A9" t="n">
        <x:v>0</x:v>
      </x:c>
      <x:c r="B9" s="1" t="str">
        <x:v>generate-stream</x:v>
      </x:c>
      <x:c r="C9" s="29" t="str">
        <x:v>long</x:v>
      </x:c>
      <x:c r="D9" s="109" t="n">
        <x:v>44</x:v>
      </x:c>
      <x:c r="E9" s="109" t="n">
        <x:v>40</x:v>
      </x:c>
      <x:c r="F9" s="109" t="n">
        <x:v>26.311542000000188</x:v>
      </x:c>
      <x:c r="G9" s="109" t="n">
        <x:v>1020.4484169999998</x:v>
      </x:c>
      <x:c r="H9" s="109" t="n">
        <x:v>39.19845367352851</x:v>
      </x:c>
      <x:c r="I9" s="28"/>
      <x:c r="J9" s="28"/>
      <x:c r="K9" s="109"/>
      <x:c r="L9" s="109"/>
      <x:c r="M9" s="109"/>
      <x:c r="N9" s="109"/>
      <x:c r="O9" s="28"/>
      <x:c r="P9" s="28"/>
    </x:row>
    <x:row r="10" ht="26">
      <x:c r="B10" s="1"/>
      <x:c r="C10" s="25"/>
      <x:c r="D10" s="109"/>
      <x:c r="E10" s="109"/>
      <x:c r="F10" s="109"/>
      <x:c r="G10" s="109"/>
      <x:c r="H10" s="109"/>
      <x:c r="I10" s="28"/>
      <x:c r="J10" s="28" t="str">
        <x:v>prompt_name</x:v>
      </x:c>
      <x:c r="K10" s="109" t="str">
        <x:v>mean_input_tokens</x:v>
      </x:c>
      <x:c r="L10" s="109" t="str">
        <x:v>mean_output_tokens</x:v>
      </x:c>
      <x:c r="M10" s="109" t="str">
        <x:v>p95_ttft_ms</x:v>
      </x:c>
      <x:c r="N10" s="109" t="str">
        <x:v>p95_total_latency_ms</x:v>
      </x:c>
      <x:c r="O10" s="28" t="str">
        <x:v>mean_tokens_per_second</x:v>
      </x:c>
      <x:c r="P10" s="28"/>
    </x:row>
    <x:row r="11">
      <x:c r="B11" s="1"/>
      <x:c r="C11" s="84"/>
      <x:c r="D11" s="112"/>
      <x:c r="E11" s="112"/>
      <x:c r="F11" s="112"/>
      <x:c r="G11" s="112"/>
      <x:c r="H11" s="112"/>
      <x:c r="I11" s="84"/>
      <x:c r="J11" s="84" t="str">
        <x:v>short</x:v>
      </x:c>
      <x:c r="K11" s="112" t="n">
        <x:v>8</x:v>
      </x:c>
      <x:c r="L11" s="112" t="n">
        <x:v>80</x:v>
      </x:c>
      <x:c r="M11" s="112" t="n">
        <x:v>175.8</x:v>
      </x:c>
      <x:c r="N11" s="112" t="n">
        <x:v>3850</x:v>
      </x:c>
      <x:c r="O11" s="112" t="n">
        <x:v>29.8</x:v>
      </x:c>
      <x:c r="P11" s="84"/>
    </x:row>
    <x:row r="12">
      <x:c r="B12" s="28"/>
      <x:c r="C12" s="28"/>
      <x:c r="D12" s="109"/>
      <x:c r="E12" s="109"/>
      <x:c r="F12" s="109"/>
      <x:c r="G12" s="109"/>
      <x:c r="H12" s="109"/>
      <x:c r="I12" s="28"/>
      <x:c r="J12" s="28" t="str">
        <x:v>medium</x:v>
      </x:c>
      <x:c r="K12" s="109" t="n">
        <x:v>23</x:v>
      </x:c>
      <x:c r="L12" s="109" t="n">
        <x:v>79</x:v>
      </x:c>
      <x:c r="M12" s="109" t="n">
        <x:v>161.2</x:v>
      </x:c>
      <x:c r="N12" s="109" t="n">
        <x:v>2095.8</x:v>
      </x:c>
      <x:c r="O12" s="109" t="n">
        <x:v>37.9</x:v>
      </x:c>
      <x:c r="P12" s="28"/>
    </x:row>
    <x:row r="13" ht="22" customHeight="1">
      <x:c r="B13" s="85"/>
      <x:c r="C13" s="85"/>
      <x:c r="D13" s="113"/>
      <x:c r="E13" s="113"/>
      <x:c r="F13" s="113"/>
      <x:c r="G13" s="113"/>
      <x:c r="H13" s="113"/>
      <x:c r="I13" s="85"/>
      <x:c r="J13" s="85" t="str">
        <x:v>long</x:v>
      </x:c>
      <x:c r="K13" s="113" t="n">
        <x:v>44</x:v>
      </x:c>
      <x:c r="L13" s="113" t="n">
        <x:v>60</x:v>
      </x:c>
      <x:c r="M13" s="113" t="n">
        <x:v>26.3</x:v>
      </x:c>
      <x:c r="N13" s="113" t="n">
        <x:v>1462</x:v>
      </x:c>
      <x:c r="O13" s="113" t="n">
        <x:v>47</x:v>
      </x:c>
      <x:c r="P13" s="85"/>
    </x:row>
    <x:row r="14">
      <x:c r="B14" s="28"/>
      <x:c r="C14" s="28"/>
      <x:c r="D14" s="109"/>
      <x:c r="E14" s="109"/>
      <x:c r="F14" s="109"/>
      <x:c r="G14" s="109"/>
      <x:c r="H14" s="109"/>
      <x:c r="I14" s="28"/>
      <x:c r="J14" s="28"/>
      <x:c r="K14" s="109"/>
      <x:c r="L14" s="109"/>
      <x:c r="M14" s="109"/>
      <x:c r="N14" s="109"/>
      <x:c r="O14" s="109"/>
      <x:c r="P14" s="28"/>
    </x:row>
    <x:row r="15" ht="34" customHeight="1">
      <x:c r="B15" s="2"/>
      <x:c r="C15" s="2"/>
      <x:c r="D15" s="114"/>
      <x:c r="E15" s="114"/>
      <x:c r="F15" s="114"/>
      <x:c r="G15" s="114"/>
      <x:c r="H15" s="114"/>
      <x:c r="I15" s="2"/>
      <x:c r="J15" s="2"/>
      <x:c r="K15" s="114"/>
      <x:c r="L15" s="114"/>
      <x:c r="M15" s="114"/>
      <x:c r="N15" s="114"/>
      <x:c r="O15" s="114"/>
      <x:c r="P15" s="2"/>
    </x:row>
    <x:row r="16">
      <x:c r="B16" s="30"/>
      <x:c r="C16" s="31"/>
      <x:c r="D16" s="115"/>
      <x:c r="E16" s="115"/>
      <x:c r="F16" s="115"/>
      <x:c r="G16" s="115"/>
      <x:c r="H16" s="115"/>
      <x:c r="I16" s="32"/>
      <x:c r="J16" s="31"/>
      <x:c r="K16" s="115"/>
      <x:c r="L16" s="115"/>
      <x:c r="M16" s="115"/>
      <x:c r="N16" s="115"/>
      <x:c r="O16" s="115"/>
      <x:c r="P16" s="32"/>
    </x:row>
    <x:row r="17">
      <x:c r="B17" s="30"/>
      <x:c r="C17" s="31"/>
      <x:c r="D17" s="115"/>
      <x:c r="E17" s="115"/>
      <x:c r="F17" s="115"/>
      <x:c r="G17" s="115"/>
      <x:c r="H17" s="115"/>
      <x:c r="I17" s="32"/>
      <x:c r="J17" s="31"/>
      <x:c r="K17" s="115"/>
      <x:c r="L17" s="115"/>
      <x:c r="M17" s="115"/>
      <x:c r="N17" s="115"/>
      <x:c r="O17" s="115"/>
      <x:c r="P17" s="32"/>
    </x:row>
    <x:row r="18">
      <x:c r="B18" s="30"/>
      <x:c r="C18" s="31"/>
      <x:c r="D18" s="115"/>
      <x:c r="E18" s="115"/>
      <x:c r="F18" s="115"/>
      <x:c r="G18" s="115"/>
      <x:c r="H18" s="115"/>
      <x:c r="I18" s="32"/>
      <x:c r="J18" s="31"/>
      <x:c r="K18" s="115"/>
      <x:c r="L18" s="115"/>
      <x:c r="M18" s="115"/>
      <x:c r="N18" s="115"/>
      <x:c r="O18" s="115"/>
      <x:c r="P18" s="32"/>
    </x:row>
    <x:row r="19">
      <x:c r="B19" s="30"/>
      <x:c r="C19" s="31"/>
      <x:c r="D19" s="115"/>
      <x:c r="E19" s="115"/>
      <x:c r="F19" s="115"/>
      <x:c r="G19" s="115"/>
      <x:c r="H19" s="115"/>
      <x:c r="I19" s="32"/>
      <x:c r="J19" s="31"/>
      <x:c r="K19" s="115"/>
      <x:c r="L19" s="115"/>
      <x:c r="M19" s="115"/>
      <x:c r="N19" s="115"/>
      <x:c r="O19" s="115"/>
      <x:c r="P19" s="32"/>
    </x:row>
    <x:row r="20">
      <x:c r="B20" s="30"/>
      <x:c r="C20" s="31"/>
      <x:c r="D20" s="115"/>
      <x:c r="E20" s="115"/>
      <x:c r="F20" s="115"/>
      <x:c r="G20" s="115"/>
      <x:c r="H20" s="115"/>
      <x:c r="I20" s="32"/>
      <x:c r="J20" s="31"/>
      <x:c r="K20" s="115"/>
      <x:c r="L20" s="115"/>
      <x:c r="M20" s="115"/>
      <x:c r="N20" s="115"/>
      <x:c r="O20" s="115"/>
      <x:c r="P20" s="32"/>
    </x:row>
    <x:row r="21">
      <x:c r="B21" s="30"/>
      <x:c r="C21" s="31"/>
      <x:c r="D21" s="115"/>
      <x:c r="E21" s="115"/>
      <x:c r="F21" s="115"/>
      <x:c r="G21" s="115"/>
      <x:c r="H21" s="115"/>
      <x:c r="I21" s="32"/>
      <x:c r="J21" s="31"/>
      <x:c r="K21" s="31"/>
      <x:c r="L21" s="32"/>
      <x:c r="M21" s="32"/>
      <x:c r="N21" s="33"/>
      <x:c r="O21" s="34"/>
      <x:c r="P21" s="32"/>
    </x:row>
    <x:row r="22">
      <x:c r="B22" s="30"/>
      <x:c r="C22" s="31"/>
      <x:c r="D22" s="115"/>
      <x:c r="E22" s="115"/>
      <x:c r="F22" s="115"/>
      <x:c r="G22" s="115"/>
      <x:c r="H22" s="115"/>
      <x:c r="I22" s="32"/>
      <x:c r="J22" s="31"/>
      <x:c r="K22" s="31"/>
      <x:c r="L22" s="32"/>
      <x:c r="M22" s="32"/>
      <x:c r="N22" s="33"/>
      <x:c r="O22" s="34"/>
      <x:c r="P22" s="32"/>
    </x:row>
    <x:row r="23">
      <x:c r="B23" s="30"/>
      <x:c r="C23" s="31"/>
      <x:c r="D23" s="115"/>
      <x:c r="E23" s="115"/>
      <x:c r="F23" s="115"/>
      <x:c r="G23" s="115"/>
      <x:c r="H23" s="115"/>
      <x:c r="I23" s="32"/>
      <x:c r="J23" s="31"/>
      <x:c r="K23" s="31"/>
      <x:c r="L23" s="32"/>
      <x:c r="M23" s="32"/>
      <x:c r="N23" s="33"/>
      <x:c r="O23" s="34"/>
      <x:c r="P23" s="32"/>
    </x:row>
    <x:row r="24">
      <x:c r="B24" s="30"/>
      <x:c r="C24" s="31"/>
      <x:c r="D24" s="115"/>
      <x:c r="E24" s="115"/>
      <x:c r="F24" s="115"/>
      <x:c r="G24" s="115"/>
      <x:c r="H24" s="115"/>
      <x:c r="I24" s="32"/>
      <x:c r="J24" s="31"/>
      <x:c r="K24" s="31"/>
      <x:c r="L24" s="32"/>
      <x:c r="M24" s="32"/>
      <x:c r="N24" s="33"/>
      <x:c r="O24" s="34"/>
      <x:c r="P24" s="32"/>
    </x:row>
    <x:row r="25">
      <x:c r="B25" s="30"/>
      <x:c r="C25" s="31"/>
      <x:c r="D25" s="115"/>
      <x:c r="E25" s="115"/>
      <x:c r="F25" s="115"/>
      <x:c r="G25" s="115"/>
      <x:c r="H25" s="115"/>
      <x:c r="I25" s="32"/>
      <x:c r="J25" s="31"/>
      <x:c r="K25" s="31"/>
      <x:c r="L25" s="32"/>
      <x:c r="M25" s="32"/>
      <x:c r="N25" s="33"/>
      <x:c r="O25" s="34"/>
      <x:c r="P25" s="32"/>
    </x:row>
    <x:row r="26">
      <x:c r="B26" s="30"/>
      <x:c r="C26" s="31"/>
      <x:c r="D26" s="115"/>
      <x:c r="E26" s="115"/>
      <x:c r="F26" s="115"/>
      <x:c r="G26" s="115"/>
      <x:c r="H26" s="115"/>
      <x:c r="I26" s="32"/>
      <x:c r="J26" s="31"/>
      <x:c r="K26" s="31"/>
      <x:c r="L26" s="32"/>
      <x:c r="M26" s="32"/>
      <x:c r="N26" s="33"/>
      <x:c r="O26" s="34"/>
      <x:c r="P26" s="32"/>
    </x:row>
    <x:row r="27">
      <x:c r="B27" s="30"/>
      <x:c r="C27" s="31"/>
      <x:c r="D27" s="115"/>
      <x:c r="E27" s="115"/>
      <x:c r="F27" s="115"/>
      <x:c r="G27" s="115"/>
      <x:c r="H27" s="115"/>
      <x:c r="I27" s="32"/>
      <x:c r="J27" s="31"/>
      <x:c r="K27" s="31"/>
      <x:c r="L27" s="32"/>
      <x:c r="M27" s="32"/>
      <x:c r="N27" s="33"/>
      <x:c r="O27" s="34"/>
      <x:c r="P27" s="32"/>
    </x:row>
    <x:row r="28">
      <x:c r="B28" s="28"/>
      <x:c r="C28" s="28"/>
      <x:c r="D28" s="109"/>
      <x:c r="E28" s="109"/>
      <x:c r="F28" s="109"/>
      <x:c r="G28" s="109"/>
      <x:c r="H28" s="109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/>
      <x:c r="C29" s="86"/>
      <x:c r="D29" s="116"/>
      <x:c r="E29" s="116"/>
      <x:c r="F29" s="109"/>
      <x:c r="G29" s="116"/>
      <x:c r="H29" s="116"/>
      <x:c r="I29" s="86"/>
      <x:c r="J29" s="86"/>
      <x:c r="K29" s="28"/>
      <x:c r="L29" s="28"/>
      <x:c r="M29" s="28"/>
      <x:c r="N29" s="28"/>
      <x:c r="O29" s="28"/>
      <x:c r="P29" s="28"/>
    </x:row>
    <x:row r="30">
      <x:c r="B30" s="3"/>
      <x:c r="C30" s="3"/>
      <x:c r="D30" s="109"/>
      <x:c r="E30" s="109"/>
      <x:c r="F30" s="109"/>
      <x:c r="G30" s="117"/>
      <x:c r="H30" s="117"/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4"/>
      <x:c r="C31" s="35"/>
      <x:c r="D31" s="109"/>
      <x:c r="E31" s="109"/>
      <x:c r="F31" s="109"/>
      <x:c r="G31" s="118"/>
      <x:c r="H31" s="115"/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4"/>
      <x:c r="C32" s="32"/>
      <x:c r="D32" s="109"/>
      <x:c r="E32" s="109"/>
      <x:c r="F32" s="109"/>
      <x:c r="G32" s="118"/>
      <x:c r="H32" s="115"/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4"/>
      <x:c r="C33" s="32"/>
      <x:c r="D33" s="109"/>
      <x:c r="E33" s="109"/>
      <x:c r="F33" s="109"/>
      <x:c r="G33" s="118"/>
      <x:c r="H33" s="115"/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4"/>
      <x:c r="C34" s="32"/>
      <x:c r="D34" s="109"/>
      <x:c r="E34" s="109"/>
      <x:c r="F34" s="109"/>
      <x:c r="G34" s="118"/>
      <x:c r="H34" s="115"/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4"/>
      <x:c r="C35" s="32"/>
      <x:c r="D35" s="109"/>
      <x:c r="E35" s="109"/>
      <x:c r="F35" s="109"/>
      <x:c r="G35" s="119"/>
      <x:c r="H35" s="120"/>
      <x:c r="I35" s="28"/>
      <x:c r="J35" s="28"/>
      <x:c r="K35" s="28"/>
      <x:c r="L35" s="28"/>
      <x:c r="M35" s="28"/>
      <x:c r="N35" s="28"/>
      <x:c r="O35" s="28"/>
      <x:c r="P35" s="28"/>
    </x:row>
    <x:row r="36">
      <x:c r="D36" s="121"/>
      <x:c r="E36" s="121"/>
      <x:c r="F36" s="121"/>
      <x:c r="G36" s="121"/>
      <x:c r="H36" s="121"/>
    </x:row>
    <x:row r="37">
      <x:c r="D37" s="121"/>
      <x:c r="E37" s="121"/>
      <x:c r="F37" s="121"/>
      <x:c r="G37" s="121"/>
      <x:c r="H37" s="121"/>
    </x:row>
    <x:row r="38">
      <x:c r="D38" s="121"/>
      <x:c r="E38" s="121"/>
      <x:c r="F38" s="121"/>
      <x:c r="G38" s="121"/>
      <x:c r="H38" s="121"/>
    </x:row>
    <x:row r="39">
      <x:c r="D39" s="121"/>
      <x:c r="E39" s="121"/>
      <x:c r="F39" s="121"/>
      <x:c r="G39" s="121"/>
      <x:c r="H39" s="121"/>
    </x:row>
    <x:row r="40">
      <x:c r="D40" s="121"/>
      <x:c r="E40" s="121"/>
      <x:c r="F40" s="121"/>
      <x:c r="G40" s="121"/>
      <x:c r="H40" s="121"/>
    </x:row>
    <x:row r="41">
      <x:c r="D41" s="121"/>
      <x:c r="E41" s="121"/>
      <x:c r="F41" s="121"/>
      <x:c r="G41" s="121"/>
      <x:c r="H41" s="121"/>
    </x:row>
    <x:row r="42">
      <x:c r="D42" s="121"/>
      <x:c r="E42" s="121"/>
      <x:c r="F42" s="121"/>
      <x:c r="G42" s="121"/>
      <x:c r="H42" s="121"/>
    </x:row>
    <x:row r="43">
      <x:c r="D43" s="121"/>
      <x:c r="E43" s="121"/>
      <x:c r="F43" s="121"/>
      <x:c r="G43" s="121"/>
      <x:c r="H43" s="121"/>
    </x:row>
    <x:row r="44">
      <x:c r="D44" s="121"/>
      <x:c r="E44" s="121"/>
      <x:c r="F44" s="121"/>
      <x:c r="G44" s="121"/>
      <x:c r="H44" s="121"/>
    </x:row>
    <x:row r="45">
      <x:c r="D45" s="121"/>
      <x:c r="E45" s="121"/>
      <x:c r="F45" s="121"/>
      <x:c r="G45" s="121"/>
      <x:c r="H45" s="121"/>
    </x:row>
    <x:row r="46">
      <x:c r="D46" s="121"/>
      <x:c r="E46" s="121"/>
      <x:c r="F46" s="121"/>
      <x:c r="G46" s="121"/>
      <x:c r="H46" s="121"/>
    </x:row>
    <x:row r="47">
      <x:c r="D47" s="121"/>
      <x:c r="E47" s="121"/>
      <x:c r="F47" s="121"/>
      <x:c r="G47" s="121"/>
      <x:c r="H47" s="121"/>
    </x:row>
    <x:row r="48">
      <x:c r="D48" s="121"/>
      <x:c r="E48" s="121"/>
      <x:c r="F48" s="121"/>
      <x:c r="G48" s="121"/>
      <x:c r="H48" s="121"/>
    </x:row>
    <x:row r="49">
      <x:c r="D49" s="121"/>
      <x:c r="E49" s="121"/>
      <x:c r="F49" s="121"/>
      <x:c r="G49" s="121"/>
      <x:c r="H49" s="121"/>
    </x:row>
    <x:row r="50">
      <x:c r="D50" s="121"/>
      <x:c r="E50" s="121"/>
      <x:c r="F50" s="121"/>
      <x:c r="G50" s="121"/>
      <x:c r="H50" s="121"/>
    </x:row>
    <x:row r="51">
      <x:c r="D51" s="121"/>
      <x:c r="E51" s="121"/>
      <x:c r="F51" s="121"/>
      <x:c r="G51" s="121"/>
      <x:c r="H51" s="121"/>
    </x:row>
    <x:row r="52">
      <x:c r="D52" s="121"/>
      <x:c r="E52" s="121"/>
      <x:c r="F52" s="121"/>
      <x:c r="G52" s="121"/>
      <x:c r="H52" s="121"/>
    </x:row>
    <x:row r="53">
      <x:c r="D53" s="121"/>
      <x:c r="E53" s="121"/>
      <x:c r="F53" s="121"/>
      <x:c r="G53" s="121"/>
      <x:c r="H53" s="121"/>
    </x:row>
    <x:row r="54">
      <x:c r="D54" s="121"/>
      <x:c r="E54" s="121"/>
      <x:c r="F54" s="121"/>
      <x:c r="G54" s="121"/>
      <x:c r="H54" s="121"/>
    </x:row>
    <x:row r="55">
      <x:c r="D55" s="121"/>
      <x:c r="E55" s="121"/>
      <x:c r="F55" s="121"/>
      <x:c r="G55" s="121"/>
      <x:c r="H55" s="121"/>
    </x:row>
    <x:row r="56">
      <x:c r="D56" s="121"/>
      <x:c r="E56" s="121"/>
      <x:c r="F56" s="121"/>
      <x:c r="G56" s="121"/>
      <x:c r="H56" s="121"/>
    </x:row>
    <x:row r="57">
      <x:c r="D57" s="121"/>
      <x:c r="E57" s="121"/>
      <x:c r="F57" s="121"/>
      <x:c r="G57" s="121"/>
      <x:c r="H57" s="121"/>
    </x:row>
    <x:row r="58">
      <x:c r="D58" s="121"/>
      <x:c r="E58" s="121"/>
      <x:c r="F58" s="121"/>
      <x:c r="G58" s="121"/>
      <x:c r="H58" s="121"/>
    </x:row>
    <x:row r="59">
      <x:c r="D59" s="121"/>
      <x:c r="E59" s="121"/>
      <x:c r="F59" s="121"/>
      <x:c r="G59" s="121"/>
      <x:c r="H59" s="121"/>
    </x:row>
    <x:row r="60">
      <x:c r="D60" s="121"/>
      <x:c r="E60" s="121"/>
      <x:c r="F60" s="121"/>
      <x:c r="G60" s="121"/>
      <x:c r="H60" s="121"/>
    </x:row>
    <x:row r="61">
      <x:c r="D61" s="121"/>
      <x:c r="E61" s="121"/>
      <x:c r="F61" s="121"/>
      <x:c r="G61" s="121"/>
      <x:c r="H61" s="121"/>
    </x:row>
    <x:row r="62">
      <x:c r="D62" s="121"/>
      <x:c r="E62" s="121"/>
      <x:c r="F62" s="121"/>
      <x:c r="G62" s="121"/>
      <x:c r="H62" s="121"/>
    </x:row>
    <x:row r="63">
      <x:c r="D63" s="121"/>
      <x:c r="E63" s="121"/>
      <x:c r="F63" s="121"/>
      <x:c r="G63" s="121"/>
      <x:c r="H63" s="121"/>
    </x:row>
    <x:row r="64">
      <x:c r="D64" s="121"/>
      <x:c r="E64" s="121"/>
      <x:c r="F64" s="121"/>
      <x:c r="G64" s="121"/>
      <x:c r="H64" s="121"/>
    </x:row>
    <x:row r="65">
      <x:c r="D65" s="121"/>
      <x:c r="E65" s="121"/>
      <x:c r="F65" s="121"/>
      <x:c r="G65" s="121"/>
      <x:c r="H65" s="121"/>
    </x:row>
    <x:row r="66">
      <x:c r="D66" s="121"/>
      <x:c r="E66" s="121"/>
      <x:c r="F66" s="121"/>
      <x:c r="G66" s="121"/>
      <x:c r="H66" s="121"/>
    </x:row>
    <x:row r="67">
      <x:c r="D67" s="121"/>
      <x:c r="E67" s="121"/>
      <x:c r="F67" s="121"/>
      <x:c r="G67" s="121"/>
      <x:c r="H67" s="121"/>
    </x:row>
    <x:row r="68">
      <x:c r="D68" s="121"/>
      <x:c r="E68" s="121"/>
      <x:c r="F68" s="121"/>
      <x:c r="G68" s="121"/>
      <x:c r="H68" s="121"/>
    </x:row>
    <x:row r="69">
      <x:c r="D69" s="121"/>
      <x:c r="E69" s="121"/>
      <x:c r="F69" s="121"/>
      <x:c r="G69" s="121"/>
      <x:c r="H69" s="121"/>
    </x:row>
    <x:row r="70">
      <x:c r="D70" s="121"/>
      <x:c r="E70" s="121"/>
      <x:c r="F70" s="121"/>
      <x:c r="G70" s="121"/>
      <x:c r="H70" s="121"/>
    </x:row>
    <x:row r="71">
      <x:c r="D71" s="121"/>
      <x:c r="E71" s="121"/>
      <x:c r="F71" s="121"/>
      <x:c r="G71" s="121"/>
      <x:c r="H71" s="121"/>
    </x:row>
    <x:row r="72">
      <x:c r="D72" s="121"/>
      <x:c r="E72" s="121"/>
      <x:c r="F72" s="121"/>
      <x:c r="G72" s="121"/>
      <x:c r="H72" s="121"/>
    </x:row>
    <x:row r="73">
      <x:c r="D73" s="121"/>
      <x:c r="E73" s="121"/>
      <x:c r="F73" s="121"/>
      <x:c r="G73" s="121"/>
      <x:c r="H73" s="121"/>
    </x:row>
    <x:row r="74">
      <x:c r="D74" s="121"/>
      <x:c r="E74" s="121"/>
      <x:c r="F74" s="121"/>
      <x:c r="G74" s="121"/>
      <x:c r="H74" s="121"/>
    </x:row>
    <x:row r="75">
      <x:c r="D75" s="121"/>
      <x:c r="E75" s="121"/>
      <x:c r="F75" s="121"/>
      <x:c r="G75" s="121"/>
      <x:c r="H75" s="121"/>
    </x:row>
    <x:row r="76">
      <x:c r="D76" s="121"/>
      <x:c r="E76" s="121"/>
      <x:c r="F76" s="121"/>
      <x:c r="G76" s="121"/>
      <x:c r="H76" s="121"/>
    </x:row>
    <x:row r="77">
      <x:c r="D77" s="121"/>
      <x:c r="E77" s="121"/>
      <x:c r="F77" s="121"/>
      <x:c r="G77" s="121"/>
      <x:c r="H77" s="121"/>
    </x:row>
    <x:row r="78">
      <x:c r="D78" s="121"/>
      <x:c r="E78" s="121"/>
      <x:c r="F78" s="121"/>
      <x:c r="G78" s="121"/>
      <x:c r="H78" s="121"/>
    </x:row>
    <x:row r="79">
      <x:c r="D79" s="121"/>
      <x:c r="E79" s="121"/>
      <x:c r="F79" s="121"/>
      <x:c r="G79" s="121"/>
      <x:c r="H79" s="121"/>
    </x:row>
    <x:row r="80">
      <x:c r="D80" s="121"/>
      <x:c r="E80" s="121"/>
      <x:c r="F80" s="121"/>
      <x:c r="G80" s="121"/>
      <x:c r="H80" s="121"/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v>Metric</x:v>
      </x:c>
      <x:c r="B1" s="3" t="str">
        <x:v>Actual</x:v>
      </x:c>
      <x:c r="C1" s="3" t="str">
        <x:v>Target</x:v>
      </x:c>
      <x:c r="D1" s="3" t="str">
        <x:v>Prior</x:v>
      </x:c>
      <x:c r="E1" s="3" t="str">
        <x:v>Goal</x:v>
      </x:c>
      <x:c r="F1" s="3" t="str">
        <x:v>Status</x:v>
      </x:c>
      <x:c r="G1" s="4"/>
      <x:c r="H1" s="3"/>
      <x:c r="I1" s="3"/>
      <x:c r="J1" s="3"/>
      <x:c r="K1" s="4"/>
      <x:c r="L1" s="3"/>
      <x:c r="M1" s="3"/>
      <x:c r="N1" s="3"/>
      <x:c r="O1" s="4"/>
      <x:c r="P1" s="3"/>
      <x:c r="Q1" s="3"/>
      <x:c r="R1" s="4"/>
      <x:c r="S1" s="3"/>
      <x:c r="T1" s="3"/>
    </x:row>
    <x:row r="2">
      <x:c r="A2" s="4" t="str">
        <x:v>p95 TTFT (ms)</x:v>
      </x:c>
      <x:c r="B2" s="118" t="n">
        <x:v>175.8</x:v>
      </x:c>
      <x:c r="C2" s="118" t="n">
        <x:v>150</x:v>
      </x:c>
      <x:c r="D2" s="118" t="n">
        <x:v>162</x:v>
      </x:c>
      <x:c r="E2" s="4" t="str">
        <x:f t="shared" ref="E2:E7" si="0">"Higher"</x:f>
        <x:v>Lower</x:v>
      </x:c>
      <x:c r="F2" s="4" t="str">
        <x:f t="shared" ref="F2:F9" si="1">IF(E2="Higher",IF(B2&gt;=C2,"Favorable",IF(B2&gt;=C2*0.95,"Watch","Unfavorable")),IF(B2&lt;=C2,"Favorable",IF(B2&lt;=C2*1.05,"Watch","Unfavorable")))</x:f>
        <x:v>Unfavorable</x:v>
      </x:c>
      <x:c r="G2" s="4"/>
      <x:c r="H2" s="11"/>
      <x:c r="I2" s="4"/>
      <x:c r="J2" s="4"/>
      <x:c r="K2" s="4"/>
      <x:c r="L2" s="11"/>
      <x:c r="M2" s="4"/>
      <x:c r="N2" s="4"/>
      <x:c r="O2" s="4"/>
      <x:c r="P2" s="4"/>
      <x:c r="Q2" s="6"/>
      <x:c r="R2" s="4"/>
      <x:c r="S2" s="4"/>
      <x:c r="T2" s="9"/>
    </x:row>
    <x:row r="3">
      <x:c r="A3" s="4" t="str">
        <x:v>Mean total latency (ms)</x:v>
      </x:c>
      <x:c r="B3" s="118" t="n">
        <x:v>2089.7</x:v>
      </x:c>
      <x:c r="C3" s="118" t="n">
        <x:v>2000</x:v>
      </x:c>
      <x:c r="D3" s="118" t="n">
        <x:v>2160</x:v>
      </x:c>
      <x:c r="E3" s="4" t="str">
        <x:f t="shared" si="0"/>
        <x:v>Lower</x:v>
      </x:c>
      <x:c r="F3" s="4" t="str">
        <x:f t="shared" si="1"/>
        <x:v>Watch</x:v>
      </x:c>
      <x:c r="G3" s="4"/>
      <x:c r="H3" s="11"/>
      <x:c r="I3" s="4"/>
      <x:c r="J3" s="4"/>
      <x:c r="K3" s="4"/>
      <x:c r="L3" s="11"/>
      <x:c r="M3" s="4"/>
      <x:c r="N3" s="4"/>
      <x:c r="O3" s="4"/>
      <x:c r="P3" s="4"/>
      <x:c r="Q3" s="6"/>
      <x:c r="R3" s="4"/>
      <x:c r="S3" s="4"/>
      <x:c r="T3" s="9"/>
    </x:row>
    <x:row r="4">
      <x:c r="A4" s="4" t="str">
        <x:v>Mean throughput (tok/s)</x:v>
      </x:c>
      <x:c r="B4" s="118" t="n">
        <x:v>38.2</x:v>
      </x:c>
      <x:c r="C4" s="118" t="n">
        <x:v>35</x:v>
      </x:c>
      <x:c r="D4" s="118" t="n">
        <x:v>32.2</x:v>
      </x:c>
      <x:c r="E4" s="4" t="str">
        <x:f t="shared" si="0"/>
        <x:v>Higher</x:v>
      </x:c>
      <x:c r="F4" s="4" t="str">
        <x:f t="shared" si="1"/>
        <x:v>Favorable</x:v>
      </x:c>
      <x:c r="G4" s="4"/>
      <x:c r="H4" s="11"/>
      <x:c r="I4" s="4"/>
      <x:c r="J4" s="4"/>
      <x:c r="K4" s="4"/>
      <x:c r="L4" s="11"/>
      <x:c r="M4" s="4"/>
      <x:c r="N4" s="4"/>
      <x:c r="O4" s="4"/>
      <x:c r="P4" s="4"/>
      <x:c r="Q4" s="6"/>
      <x:c r="R4" s="4"/>
      <x:c r="S4" s="4"/>
      <x:c r="T4" s="9"/>
    </x:row>
    <x:row r="5">
      <x:c r="A5" s="4" t="str">
        <x:v>Benchmark requests</x:v>
      </x:c>
      <x:c r="B5" s="118" t="n">
        <x:v>6</x:v>
      </x:c>
      <x:c r="C5" s="118" t="n">
        <x:v>30</x:v>
      </x:c>
      <x:c r="D5" s="118" t="n">
        <x:v>27.6</x:v>
      </x:c>
      <x:c r="E5" s="4" t="str">
        <x:f t="shared" si="0"/>
        <x:v>Higher</x:v>
      </x:c>
      <x:c r="F5" s="4" t="str">
        <x:f t="shared" si="1"/>
        <x:v>Unfavorable</x:v>
      </x:c>
      <x:c r="G5" s="4"/>
      <x:c r="H5" s="11"/>
      <x:c r="I5" s="4"/>
      <x:c r="J5" s="4"/>
      <x:c r="K5" s="4"/>
      <x:c r="L5" s="11"/>
      <x:c r="M5" s="4"/>
      <x:c r="N5" s="4"/>
      <x:c r="O5" s="4"/>
      <x:c r="P5" s="4"/>
      <x:c r="Q5" s="6"/>
      <x:c r="R5" s="4"/>
      <x:c r="S5" s="4"/>
      <x:c r="T5" s="9"/>
    </x:row>
    <x:row r="6">
      <x:c r="A6" s="4" t="str">
        <x:v>Streaming p95 latency (ms)</x:v>
      </x:c>
      <x:c r="B6" s="118" t="n">
        <x:v>2074.4</x:v>
      </x:c>
      <x:c r="C6" s="118" t="n">
        <x:v>2000</x:v>
      </x:c>
      <x:c r="D6" s="118" t="n">
        <x:v>2160</x:v>
      </x:c>
      <x:c r="E6" s="4" t="str">
        <x:f t="shared" si="0"/>
        <x:v>Lower</x:v>
      </x:c>
      <x:c r="F6" s="4" t="str">
        <x:f t="shared" si="1"/>
        <x:v>Watch</x:v>
      </x:c>
      <x:c r="G6" s="4"/>
      <x:c r="H6" s="11"/>
      <x:c r="I6" s="4"/>
      <x:c r="J6" s="4"/>
      <x:c r="K6" s="4"/>
      <x:c r="L6" s="11"/>
      <x:c r="M6" s="4"/>
      <x:c r="N6" s="4"/>
      <x:c r="O6" s="4"/>
      <x:c r="P6" s="4"/>
      <x:c r="Q6" s="6"/>
      <x:c r="R6" s="4"/>
      <x:c r="S6" s="4"/>
      <x:c r="T6" s="4"/>
    </x:row>
    <x:row r="7">
      <x:c r="A7" s="4" t="str">
        <x:v>Mean output tokens</x:v>
      </x:c>
      <x:c r="B7" s="118" t="n">
        <x:v>72.8</x:v>
      </x:c>
      <x:c r="C7" s="118" t="n">
        <x:v>80</x:v>
      </x:c>
      <x:c r="D7" s="118" t="n">
        <x:v>73.6</x:v>
      </x:c>
      <x:c r="E7" s="4" t="str">
        <x:f t="shared" si="0"/>
        <x:v>Higher</x:v>
      </x:c>
      <x:c r="F7" s="4" t="str">
        <x:f t="shared" si="1"/>
        <x:v>Unfavorable</x:v>
      </x:c>
      <x:c r="G7" s="4"/>
      <x:c r="H7" s="11"/>
      <x:c r="I7" s="4"/>
      <x:c r="J7" s="4"/>
      <x:c r="K7" s="4"/>
      <x:c r="L7" s="11"/>
      <x:c r="M7" s="4"/>
      <x:c r="N7" s="4"/>
      <x:c r="O7" s="4"/>
      <x:c r="P7" s="4"/>
      <x:c r="Q7" s="4"/>
      <x:c r="R7" s="4"/>
      <x:c r="S7" s="4"/>
      <x:c r="T7" s="4"/>
    </x:row>
    <x:row r="8">
      <x:c r="A8" s="4" t="str">
        <x:v>Max input tokens</x:v>
      </x:c>
      <x:c r="B8" s="118" t="n">
        <x:v>44</x:v>
      </x:c>
      <x:c r="C8" s="118" t="n">
        <x:v>100</x:v>
      </x:c>
      <x:c r="D8" s="118" t="n">
        <x:v>108</x:v>
      </x:c>
      <x:c r="E8" s="4" t="str">
        <x:v>Lower</x:v>
      </x:c>
      <x:c r="F8" s="4" t="str">
        <x:f t="shared" si="1"/>
        <x:v>Favorable</x:v>
      </x:c>
      <x:c r="G8" s="4"/>
      <x:c r="H8" s="11"/>
      <x:c r="I8" s="4"/>
      <x:c r="J8" s="4"/>
      <x:c r="K8" s="4"/>
      <x:c r="L8" s="11"/>
      <x:c r="M8" s="4"/>
      <x:c r="N8" s="4"/>
      <x:c r="O8" s="4"/>
      <x:c r="P8" s="4"/>
      <x:c r="Q8" s="4"/>
      <x:c r="R8" s="4"/>
      <x:c r="S8" s="4"/>
      <x:c r="T8" s="4"/>
    </x:row>
    <x:row r="9">
      <x:c r="A9" s="4" t="str">
        <x:v>Model variants</x:v>
      </x:c>
      <x:c r="B9" s="118" t="n">
        <x:v>1</x:v>
      </x:c>
      <x:c r="C9" s="118" t="n">
        <x:v>2</x:v>
      </x:c>
      <x:c r="D9" s="118" t="n">
        <x:v>1.8</x:v>
      </x:c>
      <x:c r="E9" s="4" t="str">
        <x:v>Higher</x:v>
      </x:c>
      <x:c r="F9" s="4" t="str">
        <x:f t="shared" si="1"/>
        <x:v>Unfavorable</x:v>
      </x:c>
      <x:c r="G9" s="4"/>
      <x:c r="H9" s="11"/>
      <x:c r="I9" s="4"/>
      <x:c r="J9" s="4"/>
      <x:c r="K9" s="4"/>
      <x:c r="L9" s="11"/>
      <x:c r="M9" s="4"/>
      <x:c r="N9" s="4"/>
      <x:c r="O9" s="4"/>
      <x:c r="P9" s="4"/>
      <x:c r="Q9" s="4"/>
      <x:c r="R9" s="4"/>
      <x:c r="S9" s="4"/>
      <x:c r="T9" s="4"/>
    </x:row>
    <x:row r="10">
      <x:c r="A10" s="4"/>
      <x:c r="B10" s="118"/>
      <x:c r="C10" s="118"/>
      <x:c r="D10" s="118"/>
      <x:c r="E10" s="4"/>
      <x:c r="F10" s="4"/>
      <x:c r="G10" s="4"/>
      <x:c r="H10" s="11"/>
      <x:c r="I10" s="4"/>
      <x:c r="J10" s="4"/>
      <x:c r="K10" s="4"/>
      <x:c r="L10" s="11"/>
      <x:c r="M10" s="4"/>
      <x:c r="N10" s="4"/>
      <x:c r="O10" s="4"/>
      <x:c r="P10" s="4"/>
      <x:c r="Q10" s="4"/>
      <x:c r="R10" s="4"/>
      <x:c r="S10" s="4"/>
      <x:c r="T10" s="4"/>
    </x:row>
    <x:row r="11">
      <x:c r="A11" s="4"/>
      <x:c r="B11" s="118"/>
      <x:c r="C11" s="118"/>
      <x:c r="D11" s="118"/>
      <x:c r="E11" s="4"/>
      <x:c r="F11" s="4"/>
      <x:c r="G11" s="4"/>
      <x:c r="H11" s="11"/>
      <x:c r="I11" s="4"/>
      <x:c r="J11" s="4"/>
      <x:c r="K11" s="4"/>
      <x:c r="L11" s="11"/>
      <x:c r="M11" s="4"/>
      <x:c r="N11" s="4"/>
      <x:c r="O11" s="4"/>
      <x:c r="P11" s="4"/>
      <x:c r="Q11" s="4"/>
      <x:c r="R11" s="4"/>
      <x:c r="S11" s="4"/>
      <x:c r="T11" s="4"/>
    </x:row>
    <x:row r="12">
      <x:c r="A12" s="4" t="str">
        <x:v>Prompt</x:v>
      </x:c>
      <x:c r="B12" s="118" t="str">
        <x:v>Input tokens</x:v>
      </x:c>
      <x:c r="C12" s="118" t="str">
        <x:v>Output tokens</x:v>
      </x:c>
      <x:c r="D12" s="118" t="str">
        <x:v>p95 TTFT ms</x:v>
      </x:c>
      <x:c r="E12" s="4" t="str">
        <x:v>p95 total latency ms</x:v>
      </x:c>
      <x:c r="F12" s="4" t="str">
        <x:v>Mean tok/s</x:v>
      </x:c>
      <x:c r="G12" s="4"/>
      <x:c r="H12" s="11" t="str">
        <x:v>Endpoint</x:v>
      </x:c>
      <x:c r="I12" s="4" t="str">
        <x:v>Requests</x:v>
      </x:c>
      <x:c r="J12" s="4" t="str">
        <x:v>p95 latency ms</x:v>
      </x:c>
      <x:c r="K12" s="4" t="str">
        <x:v>Mean tok/s</x:v>
      </x:c>
      <x:c r="L12" s="11" t="str">
        <x:v>Mean output tokens</x:v>
      </x:c>
      <x:c r="M12" s="4"/>
      <x:c r="N12" s="4"/>
      <x:c r="O12" s="4"/>
      <x:c r="P12" s="4"/>
      <x:c r="Q12" s="4"/>
      <x:c r="R12" s="4"/>
      <x:c r="S12" s="4"/>
      <x:c r="T12" s="4"/>
    </x:row>
    <x:row r="13">
      <x:c r="A13" s="4" t="str">
        <x:v>short</x:v>
      </x:c>
      <x:c r="B13" s="118" t="n">
        <x:v>8</x:v>
      </x:c>
      <x:c r="C13" s="118" t="n">
        <x:v>80</x:v>
      </x:c>
      <x:c r="D13" s="118" t="n">
        <x:v>175.8</x:v>
      </x:c>
      <x:c r="E13" s="4" t="n">
        <x:v>3850</x:v>
      </x:c>
      <x:c r="F13" s="4" t="n">
        <x:v>29.8</x:v>
      </x:c>
      <x:c r="G13" s="4"/>
      <x:c r="H13" s="11" t="str">
        <x:v>generate</x:v>
      </x:c>
      <x:c r="I13" s="4" t="n">
        <x:v>3</x:v>
      </x:c>
      <x:c r="J13" s="4" t="n">
        <x:v>3850</x:v>
      </x:c>
      <x:c r="K13" s="4" t="n">
        <x:v>37.9</x:v>
      </x:c>
      <x:c r="L13" s="11" t="n">
        <x:v>80</x:v>
      </x:c>
      <x:c r="M13" s="4"/>
      <x:c r="N13" s="4"/>
      <x:c r="O13" s="4"/>
      <x:c r="P13" s="4"/>
      <x:c r="Q13" s="4"/>
      <x:c r="R13" s="4"/>
      <x:c r="S13" s="4"/>
      <x:c r="T13" s="4"/>
    </x:row>
    <x:row r="14">
      <x:c r="A14" t="str">
        <x:v>medium</x:v>
      </x:c>
      <x:c r="B14" s="121" t="n">
        <x:v>23</x:v>
      </x:c>
      <x:c r="C14" s="121" t="n">
        <x:v>79</x:v>
      </x:c>
      <x:c r="D14" s="121" t="n">
        <x:v>161.2</x:v>
      </x:c>
      <x:c r="E14" t="n">
        <x:v>2095.8</x:v>
      </x:c>
      <x:c r="F14" t="n">
        <x:v>37.9</x:v>
      </x:c>
      <x:c r="H14" t="str">
        <x:v>generate-stream</x:v>
      </x:c>
      <x:c r="I14" t="n">
        <x:v>3</x:v>
      </x:c>
      <x:c r="J14" t="n">
        <x:v>2074.4</x:v>
      </x:c>
      <x:c r="K14" t="n">
        <x:v>38.5</x:v>
      </x:c>
      <x:c r="L14" t="n">
        <x:v>66</x:v>
      </x:c>
    </x:row>
    <x:row r="15">
      <x:c r="A15" t="str">
        <x:v>long</x:v>
      </x:c>
      <x:c r="B15" s="121" t="n">
        <x:v>44</x:v>
      </x:c>
      <x:c r="C15" s="121" t="n">
        <x:v>60</x:v>
      </x:c>
      <x:c r="D15" s="121" t="n">
        <x:v>26.3</x:v>
      </x:c>
      <x:c r="E15" t="n">
        <x:v>1462</x:v>
      </x:c>
      <x:c r="F15" t="n">
        <x:v>47</x:v>
      </x:c>
    </x:row>
    <x:row r="16">
      <x:c r="B16" s="121"/>
      <x:c r="C16" s="121"/>
      <x:c r="D16" s="121"/>
    </x:row>
    <x:row r="17">
      <x:c r="B17" s="121"/>
      <x:c r="C17" s="121"/>
      <x:c r="D17" s="121"/>
    </x:row>
    <x:row r="18">
      <x:c r="B18" s="121"/>
      <x:c r="C18" s="121"/>
      <x:c r="D18" s="121"/>
    </x:row>
    <x:row r="19">
      <x:c r="B19" s="121"/>
      <x:c r="C19" s="121"/>
      <x:c r="D19" s="121"/>
    </x:row>
    <x:row r="20">
      <x:c r="B20" s="121"/>
      <x:c r="C20" s="121"/>
      <x:c r="D20" s="121"/>
    </x:row>
    <x:row r="21">
      <x:c r="B21" s="121"/>
      <x:c r="C21" s="121"/>
      <x:c r="D21" s="121"/>
    </x:row>
    <x:row r="22">
      <x:c r="B22" s="121"/>
      <x:c r="C22" s="121"/>
      <x:c r="D22" s="121"/>
    </x:row>
    <x:row r="23">
      <x:c r="B23" s="121"/>
      <x:c r="C23" s="121"/>
      <x:c r="D23" s="121"/>
    </x:row>
    <x:row r="24">
      <x:c r="B24" s="121"/>
      <x:c r="C24" s="121"/>
      <x:c r="D24" s="121"/>
    </x:row>
    <x:row r="25">
      <x:c r="B25" s="121"/>
      <x:c r="C25" s="121"/>
      <x:c r="D25" s="121"/>
    </x:row>
    <x:row r="26">
      <x:c r="B26" s="121"/>
      <x:c r="C26" s="121"/>
      <x:c r="D26" s="121"/>
    </x:row>
    <x:row r="27">
      <x:c r="B27" s="121"/>
      <x:c r="C27" s="121"/>
      <x:c r="D27" s="121"/>
    </x:row>
    <x:row r="28">
      <x:c r="B28" s="121"/>
      <x:c r="C28" s="121"/>
      <x:c r="D28" s="121"/>
    </x:row>
    <x:row r="29">
      <x:c r="B29" s="121"/>
      <x:c r="C29" s="121"/>
      <x:c r="D29" s="121"/>
    </x:row>
    <x:row r="30">
      <x:c r="B30" s="121"/>
      <x:c r="C30" s="121"/>
      <x:c r="D30" s="121"/>
    </x:row>
    <x:row r="31">
      <x:c r="B31" s="121"/>
      <x:c r="C31" s="121"/>
      <x:c r="D31" s="121"/>
    </x:row>
    <x:row r="32">
      <x:c r="B32" s="121"/>
      <x:c r="C32" s="121"/>
      <x:c r="D32" s="121"/>
    </x:row>
    <x:row r="33">
      <x:c r="B33" s="121"/>
      <x:c r="C33" s="121"/>
      <x:c r="D33" s="121"/>
    </x:row>
    <x:row r="34">
      <x:c r="B34" s="121"/>
      <x:c r="C34" s="121"/>
      <x:c r="D34" s="121"/>
    </x:row>
    <x:row r="35">
      <x:c r="B35" s="121"/>
      <x:c r="C35" s="121"/>
      <x:c r="D35" s="121"/>
    </x:row>
    <x:row r="36">
      <x:c r="B36" s="121"/>
      <x:c r="C36" s="121"/>
      <x:c r="D36" s="121"/>
    </x:row>
    <x:row r="37">
      <x:c r="B37" s="121"/>
      <x:c r="C37" s="121"/>
      <x:c r="D37" s="121"/>
    </x:row>
    <x:row r="38">
      <x:c r="B38" s="121"/>
      <x:c r="C38" s="121"/>
      <x:c r="D38" s="121"/>
    </x:row>
    <x:row r="39">
      <x:c r="B39" s="121"/>
      <x:c r="C39" s="121"/>
      <x:c r="D39" s="121"/>
    </x:row>
    <x:row r="40">
      <x:c r="B40" s="121"/>
      <x:c r="C40" s="121"/>
      <x:c r="D40" s="121"/>
    </x:row>
    <x:row r="41">
      <x:c r="B41" s="121"/>
      <x:c r="C41" s="121"/>
      <x:c r="D41" s="121"/>
    </x:row>
    <x:row r="42">
      <x:c r="B42" s="121"/>
      <x:c r="C42" s="121"/>
      <x:c r="D42" s="121"/>
    </x:row>
    <x:row r="43">
      <x:c r="B43" s="121"/>
      <x:c r="C43" s="121"/>
      <x:c r="D43" s="121"/>
    </x:row>
    <x:row r="44">
      <x:c r="B44" s="121"/>
      <x:c r="C44" s="121"/>
      <x:c r="D44" s="121"/>
    </x:row>
    <x:row r="45">
      <x:c r="B45" s="121"/>
      <x:c r="C45" s="121"/>
      <x:c r="D45" s="121"/>
    </x:row>
    <x:row r="46">
      <x:c r="B46" s="121"/>
      <x:c r="C46" s="121"/>
      <x:c r="D46" s="121"/>
    </x:row>
    <x:row r="47">
      <x:c r="B47" s="121"/>
      <x:c r="C47" s="121"/>
      <x:c r="D47" s="121"/>
    </x:row>
    <x:row r="48">
      <x:c r="B48" s="121"/>
      <x:c r="C48" s="121"/>
      <x:c r="D48" s="121"/>
    </x:row>
    <x:row r="49">
      <x:c r="B49" s="121"/>
      <x:c r="C49" s="121"/>
      <x:c r="D49" s="121"/>
    </x:row>
    <x:row r="50">
      <x:c r="B50" s="121"/>
      <x:c r="C50" s="121"/>
      <x:c r="D50" s="121"/>
    </x:row>
    <x:row r="51">
      <x:c r="B51" s="121"/>
      <x:c r="C51" s="121"/>
      <x:c r="D51" s="121"/>
    </x:row>
    <x:row r="52">
      <x:c r="B52" s="121"/>
      <x:c r="C52" s="121"/>
      <x:c r="D52" s="121"/>
    </x:row>
    <x:row r="53">
      <x:c r="B53" s="121"/>
      <x:c r="C53" s="121"/>
      <x:c r="D53" s="121"/>
    </x:row>
    <x:row r="54">
      <x:c r="B54" s="121"/>
      <x:c r="C54" s="121"/>
      <x:c r="D54" s="121"/>
    </x:row>
    <x:row r="55">
      <x:c r="B55" s="121"/>
      <x:c r="C55" s="121"/>
      <x:c r="D55" s="121"/>
    </x:row>
    <x:row r="56">
      <x:c r="B56" s="121"/>
      <x:c r="C56" s="121"/>
      <x:c r="D56" s="121"/>
    </x:row>
    <x:row r="57">
      <x:c r="B57" s="121"/>
      <x:c r="C57" s="121"/>
      <x:c r="D57" s="121"/>
    </x:row>
    <x:row r="58">
      <x:c r="B58" s="121"/>
      <x:c r="C58" s="121"/>
      <x:c r="D58" s="121"/>
    </x:row>
    <x:row r="59">
      <x:c r="B59" s="121"/>
      <x:c r="C59" s="121"/>
      <x:c r="D59" s="121"/>
    </x:row>
    <x:row r="60">
      <x:c r="B60" s="121"/>
      <x:c r="C60" s="121"/>
      <x:c r="D60" s="121"/>
    </x:row>
    <x:row r="61">
      <x:c r="B61" s="121"/>
      <x:c r="C61" s="121"/>
      <x:c r="D61" s="121"/>
    </x:row>
    <x:row r="62">
      <x:c r="B62" s="121"/>
      <x:c r="C62" s="121"/>
      <x:c r="D62" s="121"/>
    </x:row>
    <x:row r="63">
      <x:c r="B63" s="121"/>
      <x:c r="C63" s="121"/>
      <x:c r="D63" s="121"/>
    </x:row>
    <x:row r="64">
      <x:c r="B64" s="121"/>
      <x:c r="C64" s="121"/>
      <x:c r="D64" s="121"/>
    </x:row>
    <x:row r="65">
      <x:c r="B65" s="121"/>
      <x:c r="C65" s="121"/>
      <x:c r="D65" s="121"/>
    </x:row>
    <x:row r="66">
      <x:c r="B66" s="121"/>
      <x:c r="C66" s="121"/>
      <x:c r="D66" s="121"/>
    </x:row>
    <x:row r="67">
      <x:c r="B67" s="121"/>
      <x:c r="C67" s="121"/>
      <x:c r="D67" s="121"/>
    </x:row>
    <x:row r="68">
      <x:c r="B68" s="121"/>
      <x:c r="C68" s="121"/>
      <x:c r="D68" s="121"/>
    </x:row>
    <x:row r="69">
      <x:c r="B69" s="121"/>
      <x:c r="C69" s="121"/>
      <x:c r="D69" s="121"/>
    </x:row>
    <x:row r="70">
      <x:c r="B70" s="121"/>
      <x:c r="C70" s="121"/>
      <x:c r="D70" s="121"/>
    </x:row>
    <x:row r="71">
      <x:c r="B71" s="121"/>
      <x:c r="C71" s="121"/>
      <x:c r="D71" s="121"/>
    </x:row>
    <x:row r="72">
      <x:c r="B72" s="121"/>
      <x:c r="C72" s="121"/>
      <x:c r="D72" s="121"/>
    </x:row>
    <x:row r="73">
      <x:c r="B73" s="121"/>
      <x:c r="C73" s="121"/>
      <x:c r="D73" s="121"/>
    </x:row>
    <x:row r="74">
      <x:c r="B74" s="121"/>
      <x:c r="C74" s="121"/>
      <x:c r="D74" s="121"/>
    </x:row>
    <x:row r="75">
      <x:c r="B75" s="121"/>
      <x:c r="C75" s="121"/>
      <x:c r="D75" s="121"/>
    </x:row>
    <x:row r="76">
      <x:c r="B76" s="121"/>
      <x:c r="C76" s="121"/>
      <x:c r="D76" s="121"/>
    </x:row>
    <x:row r="77">
      <x:c r="B77" s="121"/>
      <x:c r="C77" s="121"/>
      <x:c r="D77" s="121"/>
    </x:row>
    <x:row r="78">
      <x:c r="B78" s="121"/>
      <x:c r="C78" s="121"/>
      <x:c r="D78" s="121"/>
    </x:row>
    <x:row r="79">
      <x:c r="B79" s="121"/>
      <x:c r="C79" s="121"/>
      <x:c r="D79" s="121"/>
    </x:row>
    <x:row r="80">
      <x:c r="B80" s="121"/>
      <x:c r="C80" s="121"/>
      <x:c r="D80" s="121"/>
    </x:row>
  </x:sheetData>
  <x:pageMargins left="0.7" right="0.7" top="0.75" bottom="0.75" header="0.3" footer="0.3"/>
</x:worksheet>
</file>